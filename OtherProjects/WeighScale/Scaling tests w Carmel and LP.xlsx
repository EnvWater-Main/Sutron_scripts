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sponlinenam-my.sharepoint.com/personal/alex_messina_wsp_com/Documents/Documents/GitHub/Sutron_scripts/OtherProjects/WeighScale/"/>
    </mc:Choice>
  </mc:AlternateContent>
  <xr:revisionPtr revIDLastSave="0" documentId="8_{B013274B-1471-4493-86B8-243023EB5306}" xr6:coauthVersionLast="47" xr6:coauthVersionMax="47" xr10:uidLastSave="{00000000-0000-0000-0000-000000000000}"/>
  <bookViews>
    <workbookView xWindow="-108" yWindow="-108" windowWidth="23256" windowHeight="13896" firstSheet="3" activeTab="5" xr2:uid="{7D8C3F04-2614-4796-A548-6BDFC7294831}"/>
  </bookViews>
  <sheets>
    <sheet name="hacked" sheetId="1" r:id="rId1"/>
    <sheet name="hacked (2)" sheetId="3" r:id="rId2"/>
    <sheet name="hacked(large)" sheetId="4" r:id="rId3"/>
    <sheet name="Large_scale_CarrollCyn" sheetId="5" r:id="rId4"/>
    <sheet name="Large_scale_Carroll" sheetId="6" r:id="rId5"/>
    <sheet name="CVC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9" i="7" l="1"/>
  <c r="C9" i="7"/>
  <c r="E5" i="6"/>
  <c r="I4" i="6"/>
  <c r="G4" i="6"/>
  <c r="E4" i="6"/>
  <c r="I3" i="6"/>
  <c r="G3" i="6"/>
  <c r="E3" i="6"/>
  <c r="I2" i="6"/>
  <c r="G2" i="6"/>
  <c r="E3" i="5"/>
  <c r="E4" i="5"/>
  <c r="E5" i="5"/>
  <c r="I4" i="5"/>
  <c r="G4" i="5"/>
  <c r="I3" i="5"/>
  <c r="G3" i="5"/>
  <c r="I2" i="5"/>
  <c r="G2" i="5"/>
  <c r="E13" i="4"/>
  <c r="E4" i="4"/>
  <c r="E5" i="4"/>
  <c r="E6" i="4"/>
  <c r="E7" i="4"/>
  <c r="E8" i="4"/>
  <c r="E9" i="4"/>
  <c r="E10" i="4"/>
  <c r="E11" i="4"/>
  <c r="E12" i="4"/>
  <c r="E3" i="4"/>
  <c r="I12" i="4"/>
  <c r="I10" i="4"/>
  <c r="I8" i="4"/>
  <c r="I6" i="4"/>
  <c r="I4" i="4"/>
  <c r="G12" i="4"/>
  <c r="G10" i="4"/>
  <c r="G8" i="4"/>
  <c r="G6" i="4"/>
  <c r="G4" i="4"/>
  <c r="G2" i="4"/>
  <c r="I2" i="4"/>
  <c r="B3" i="4"/>
  <c r="B4" i="4"/>
  <c r="B5" i="4"/>
  <c r="B6" i="4"/>
  <c r="B7" i="4"/>
  <c r="B8" i="4"/>
  <c r="B9" i="4"/>
  <c r="B10" i="4"/>
  <c r="B11" i="4"/>
  <c r="B12" i="4"/>
  <c r="B2" i="4"/>
  <c r="B7" i="3"/>
  <c r="B6" i="3"/>
  <c r="B5" i="3"/>
  <c r="B4" i="3"/>
  <c r="B3" i="3"/>
  <c r="B2" i="3"/>
  <c r="B3" i="1"/>
  <c r="B4" i="1"/>
  <c r="B5" i="1"/>
  <c r="B6" i="1"/>
  <c r="B7" i="1"/>
  <c r="B2" i="1"/>
</calcChain>
</file>

<file path=xl/sharedStrings.xml><?xml version="1.0" encoding="utf-8"?>
<sst xmlns="http://schemas.openxmlformats.org/spreadsheetml/2006/main" count="41" uniqueCount="9">
  <si>
    <t>Sutron reading in mV?</t>
  </si>
  <si>
    <t>scaled by 1M</t>
  </si>
  <si>
    <t>mL volume</t>
  </si>
  <si>
    <t>empty 1L beaker</t>
  </si>
  <si>
    <t>sampler +empty beaker</t>
  </si>
  <si>
    <t>Difference</t>
  </si>
  <si>
    <t>volts/gram</t>
  </si>
  <si>
    <t>avg:</t>
  </si>
  <si>
    <t>empty 15gal container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</si>
</sst>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hacked!$B$2:$B$7</c:f>
              <c:numCache>
                <c:formatCode>General</c:formatCode>
                <c:ptCount val="6"/>
                <c:pt idx="0">
                  <c:v>651</c:v>
                </c:pt>
                <c:pt idx="1">
                  <c:v>655</c:v>
                </c:pt>
                <c:pt idx="2">
                  <c:v>658</c:v>
                </c:pt>
                <c:pt idx="3">
                  <c:v>662</c:v>
                </c:pt>
                <c:pt idx="4">
                  <c:v>667</c:v>
                </c:pt>
                <c:pt idx="5">
                  <c:v>670</c:v>
                </c:pt>
              </c:numCache>
            </c:numRef>
          </c:xVal>
          <c:yVal>
            <c:numRef>
              <c:f>hacked!$C$2:$C$7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6D5-45DE-96A9-50E91741A4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485832"/>
        <c:axId val="904588408"/>
      </c:scatterChart>
      <c:valAx>
        <c:axId val="458485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88408"/>
        <c:crosses val="autoZero"/>
        <c:crossBetween val="midCat"/>
      </c:valAx>
      <c:valAx>
        <c:axId val="90458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85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'hacked (2)'!$B$2:$B$7</c:f>
              <c:numCache>
                <c:formatCode>General</c:formatCode>
                <c:ptCount val="6"/>
                <c:pt idx="0">
                  <c:v>192</c:v>
                </c:pt>
                <c:pt idx="1">
                  <c:v>183</c:v>
                </c:pt>
                <c:pt idx="2">
                  <c:v>172</c:v>
                </c:pt>
                <c:pt idx="3">
                  <c:v>163</c:v>
                </c:pt>
                <c:pt idx="4">
                  <c:v>154</c:v>
                </c:pt>
                <c:pt idx="5">
                  <c:v>143</c:v>
                </c:pt>
              </c:numCache>
            </c:numRef>
          </c:xVal>
          <c:yVal>
            <c:numRef>
              <c:f>'hacked (2)'!$C$2:$C$7</c:f>
              <c:numCache>
                <c:formatCode>General</c:formatCode>
                <c:ptCount val="6"/>
                <c:pt idx="0">
                  <c:v>0</c:v>
                </c:pt>
                <c:pt idx="1">
                  <c:v>200</c:v>
                </c:pt>
                <c:pt idx="2">
                  <c:v>400</c:v>
                </c:pt>
                <c:pt idx="3">
                  <c:v>600</c:v>
                </c:pt>
                <c:pt idx="4">
                  <c:v>800</c:v>
                </c:pt>
                <c:pt idx="5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3E9-40B3-B099-538C93F39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8485832"/>
        <c:axId val="904588408"/>
      </c:scatterChart>
      <c:valAx>
        <c:axId val="4584858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04588408"/>
        <c:crosses val="autoZero"/>
        <c:crossBetween val="midCat"/>
      </c:valAx>
      <c:valAx>
        <c:axId val="904588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4858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147205208233789E-2"/>
                  <c:y val="-0.385814377369495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'hacked(large)'!$B$2:$B$12</c:f>
              <c:numCache>
                <c:formatCode>General</c:formatCode>
                <c:ptCount val="11"/>
                <c:pt idx="0">
                  <c:v>277.79999999999995</c:v>
                </c:pt>
                <c:pt idx="1">
                  <c:v>276.3</c:v>
                </c:pt>
                <c:pt idx="2">
                  <c:v>274.8</c:v>
                </c:pt>
                <c:pt idx="3">
                  <c:v>273.7</c:v>
                </c:pt>
                <c:pt idx="4">
                  <c:v>272.10000000000002</c:v>
                </c:pt>
                <c:pt idx="5">
                  <c:v>270.90000000000003</c:v>
                </c:pt>
                <c:pt idx="6">
                  <c:v>269.59999999999997</c:v>
                </c:pt>
                <c:pt idx="7">
                  <c:v>268.10000000000002</c:v>
                </c:pt>
                <c:pt idx="8">
                  <c:v>266.7</c:v>
                </c:pt>
                <c:pt idx="9">
                  <c:v>265.60000000000002</c:v>
                </c:pt>
                <c:pt idx="10">
                  <c:v>264.20000000000005</c:v>
                </c:pt>
              </c:numCache>
            </c:numRef>
          </c:xVal>
          <c:yVal>
            <c:numRef>
              <c:f>'hacked(large)'!$C$2:$C$12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810</c:v>
                </c:pt>
                <c:pt idx="9">
                  <c:v>900</c:v>
                </c:pt>
                <c:pt idx="10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33-4F8D-951F-60F9740AD80A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490193391500439E-2"/>
                  <c:y val="-0.3474981773111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'hacked(large)'!$I$2:$I$12</c:f>
              <c:numCache>
                <c:formatCode>General</c:formatCode>
                <c:ptCount val="11"/>
                <c:pt idx="0">
                  <c:v>187.6</c:v>
                </c:pt>
                <c:pt idx="2">
                  <c:v>184.79999999999998</c:v>
                </c:pt>
                <c:pt idx="4">
                  <c:v>182.39999999999998</c:v>
                </c:pt>
                <c:pt idx="6">
                  <c:v>179.6</c:v>
                </c:pt>
                <c:pt idx="8">
                  <c:v>176.79999999999998</c:v>
                </c:pt>
                <c:pt idx="10">
                  <c:v>174.20000000000002</c:v>
                </c:pt>
              </c:numCache>
            </c:numRef>
          </c:xVal>
          <c:yVal>
            <c:numRef>
              <c:f>'hacked(large)'!$J$2:$J$12</c:f>
              <c:numCache>
                <c:formatCode>General</c:formatCode>
                <c:ptCount val="11"/>
                <c:pt idx="0">
                  <c:v>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700</c:v>
                </c:pt>
                <c:pt idx="8">
                  <c:v>810</c:v>
                </c:pt>
                <c:pt idx="9">
                  <c:v>900</c:v>
                </c:pt>
                <c:pt idx="10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33-4F8D-951F-60F9740AD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211320"/>
        <c:axId val="1021344328"/>
      </c:scatterChart>
      <c:valAx>
        <c:axId val="1028211320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344328"/>
        <c:crosses val="autoZero"/>
        <c:crossBetween val="midCat"/>
      </c:valAx>
      <c:valAx>
        <c:axId val="102134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11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147205208233789E-2"/>
                  <c:y val="-0.385814377369495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Large_scale_CarrollCyn!$B$2:$B$4</c:f>
              <c:numCache>
                <c:formatCode>General</c:formatCode>
                <c:ptCount val="3"/>
                <c:pt idx="0">
                  <c:v>2263</c:v>
                </c:pt>
                <c:pt idx="1">
                  <c:v>2012.3</c:v>
                </c:pt>
                <c:pt idx="2">
                  <c:v>1764.59</c:v>
                </c:pt>
              </c:numCache>
            </c:numRef>
          </c:xVal>
          <c:yVal>
            <c:numRef>
              <c:f>Large_scale_CarrollCyn!$C$2:$C$4</c:f>
              <c:numCache>
                <c:formatCode>General</c:formatCode>
                <c:ptCount val="3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EEB-4CD1-AA83-46DF50342EDE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490193391500439E-2"/>
                  <c:y val="-0.3474981773111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Large_scale_CarrollCyn!$I$2:$I$4</c:f>
              <c:numCache>
                <c:formatCode>General</c:formatCode>
                <c:ptCount val="3"/>
                <c:pt idx="0">
                  <c:v>187.6</c:v>
                </c:pt>
                <c:pt idx="1">
                  <c:v>184.79999999999998</c:v>
                </c:pt>
                <c:pt idx="2">
                  <c:v>174.20000000000002</c:v>
                </c:pt>
              </c:numCache>
            </c:numRef>
          </c:xVal>
          <c:yVal>
            <c:numRef>
              <c:f>Large_scale_CarrollCyn!$J$2:$J$4</c:f>
              <c:numCache>
                <c:formatCode>General</c:formatCode>
                <c:ptCount val="3"/>
                <c:pt idx="0">
                  <c:v>0</c:v>
                </c:pt>
                <c:pt idx="1">
                  <c:v>200</c:v>
                </c:pt>
                <c:pt idx="2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4EEB-4CD1-AA83-46DF50342E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211320"/>
        <c:axId val="1021344328"/>
      </c:scatterChart>
      <c:valAx>
        <c:axId val="1028211320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344328"/>
        <c:crosses val="autoZero"/>
        <c:crossBetween val="midCat"/>
      </c:valAx>
      <c:valAx>
        <c:axId val="102134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11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147205208233789E-2"/>
                  <c:y val="-0.3858143773694954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Large_scale_Carroll!$B$2:$B$4</c:f>
              <c:numCache>
                <c:formatCode>General</c:formatCode>
                <c:ptCount val="3"/>
                <c:pt idx="0">
                  <c:v>2263</c:v>
                </c:pt>
                <c:pt idx="1">
                  <c:v>2012.3</c:v>
                </c:pt>
                <c:pt idx="2">
                  <c:v>1764.59</c:v>
                </c:pt>
              </c:numCache>
            </c:numRef>
          </c:xVal>
          <c:yVal>
            <c:numRef>
              <c:f>Large_scale_Carroll!$C$2:$C$4</c:f>
              <c:numCache>
                <c:formatCode>General</c:formatCode>
                <c:ptCount val="3"/>
                <c:pt idx="0">
                  <c:v>0</c:v>
                </c:pt>
                <c:pt idx="1">
                  <c:v>2000</c:v>
                </c:pt>
                <c:pt idx="2">
                  <c:v>4000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5D9-460E-BC70-0E30C243BCD6}"/>
            </c:ext>
          </c:extLst>
        </c:ser>
        <c:ser>
          <c:idx val="1"/>
          <c:order val="1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8.9490193391500439E-2"/>
                  <c:y val="-0.3474981773111694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Large_scale_Carroll!$I$2:$I$4</c:f>
              <c:numCache>
                <c:formatCode>General</c:formatCode>
                <c:ptCount val="3"/>
                <c:pt idx="0">
                  <c:v>187.6</c:v>
                </c:pt>
                <c:pt idx="1">
                  <c:v>184.79999999999998</c:v>
                </c:pt>
                <c:pt idx="2">
                  <c:v>174.20000000000002</c:v>
                </c:pt>
              </c:numCache>
            </c:numRef>
          </c:xVal>
          <c:yVal>
            <c:numRef>
              <c:f>Large_scale_Carroll!$J$2:$J$4</c:f>
              <c:numCache>
                <c:formatCode>General</c:formatCode>
                <c:ptCount val="3"/>
                <c:pt idx="0">
                  <c:v>0</c:v>
                </c:pt>
                <c:pt idx="1">
                  <c:v>200</c:v>
                </c:pt>
                <c:pt idx="2">
                  <c:v>1000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15D9-460E-BC70-0E30C243BC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8211320"/>
        <c:axId val="1021344328"/>
      </c:scatterChart>
      <c:valAx>
        <c:axId val="1028211320"/>
        <c:scaling>
          <c:orientation val="minMax"/>
          <c:min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1344328"/>
        <c:crosses val="autoZero"/>
        <c:crossBetween val="midCat"/>
      </c:valAx>
      <c:valAx>
        <c:axId val="1021344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8211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CVC!$D$1</c:f>
              <c:strCache>
                <c:ptCount val="1"/>
                <c:pt idx="0">
                  <c:v>mL volume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-0.33800868494032588"/>
                  <c:y val="-0.55048007588669434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18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CVC!$C$2:$C$6</c:f>
              <c:numCache>
                <c:formatCode>General</c:formatCode>
                <c:ptCount val="5"/>
                <c:pt idx="0">
                  <c:v>-507</c:v>
                </c:pt>
                <c:pt idx="1">
                  <c:v>-515</c:v>
                </c:pt>
                <c:pt idx="2">
                  <c:v>-523</c:v>
                </c:pt>
                <c:pt idx="3">
                  <c:v>-530</c:v>
                </c:pt>
                <c:pt idx="4">
                  <c:v>-538</c:v>
                </c:pt>
              </c:numCache>
            </c:numRef>
          </c:xVal>
          <c:yVal>
            <c:numRef>
              <c:f>CVC!$D$2:$D$6</c:f>
              <c:numCache>
                <c:formatCode>General</c:formatCode>
                <c:ptCount val="5"/>
                <c:pt idx="0">
                  <c:v>0</c:v>
                </c:pt>
                <c:pt idx="1">
                  <c:v>500</c:v>
                </c:pt>
                <c:pt idx="2">
                  <c:v>1000</c:v>
                </c:pt>
                <c:pt idx="3">
                  <c:v>1500</c:v>
                </c:pt>
                <c:pt idx="4">
                  <c:v>2000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1A8-4FD5-AEE6-CF8AABFDE6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64517352"/>
        <c:axId val="1064519872"/>
      </c:scatterChart>
      <c:valAx>
        <c:axId val="10645173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19872"/>
        <c:crosses val="autoZero"/>
        <c:crossBetween val="midCat"/>
      </c:valAx>
      <c:valAx>
        <c:axId val="10645198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45173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9</xdr:row>
      <xdr:rowOff>11430</xdr:rowOff>
    </xdr:from>
    <xdr:to>
      <xdr:col>6</xdr:col>
      <xdr:colOff>236220</xdr:colOff>
      <xdr:row>24</xdr:row>
      <xdr:rowOff>11430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0D5AF57-4C28-2BE0-0886-AB36FF10E9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259080</xdr:colOff>
      <xdr:row>9</xdr:row>
      <xdr:rowOff>11430</xdr:rowOff>
    </xdr:from>
    <xdr:to>
      <xdr:col>6</xdr:col>
      <xdr:colOff>236220</xdr:colOff>
      <xdr:row>24</xdr:row>
      <xdr:rowOff>11430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A31467-307C-40AC-8665-96D1A911325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626745</xdr:colOff>
      <xdr:row>13</xdr:row>
      <xdr:rowOff>102870</xdr:rowOff>
    </xdr:from>
    <xdr:to>
      <xdr:col>9</xdr:col>
      <xdr:colOff>480060</xdr:colOff>
      <xdr:row>27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D0E66BD-4E8D-07D7-1761-C5DC14F18E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626745</xdr:colOff>
      <xdr:row>5</xdr:row>
      <xdr:rowOff>102870</xdr:rowOff>
    </xdr:from>
    <xdr:to>
      <xdr:col>9</xdr:col>
      <xdr:colOff>480060</xdr:colOff>
      <xdr:row>19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FDBBA0F-0ED0-4A8A-B34F-0C0A70E91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626745</xdr:colOff>
      <xdr:row>5</xdr:row>
      <xdr:rowOff>102870</xdr:rowOff>
    </xdr:from>
    <xdr:to>
      <xdr:col>9</xdr:col>
      <xdr:colOff>480060</xdr:colOff>
      <xdr:row>19</xdr:row>
      <xdr:rowOff>179070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CDA6F5-5EB0-4569-A0FC-DC057A446B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7</xdr:row>
      <xdr:rowOff>133350</xdr:rowOff>
    </xdr:from>
    <xdr:to>
      <xdr:col>18</xdr:col>
      <xdr:colOff>289560</xdr:colOff>
      <xdr:row>29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788CB1-C80D-56D1-6C44-80CA92A1FE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68B8AD-2199-4575-9AEB-43ABCCB849D1}">
  <dimension ref="A1:C7"/>
  <sheetViews>
    <sheetView workbookViewId="0">
      <selection activeCell="B1" sqref="B1:C7"/>
    </sheetView>
  </sheetViews>
  <sheetFormatPr defaultRowHeight="14.4" x14ac:dyDescent="0.3"/>
  <cols>
    <col min="1" max="1" width="22.6640625" customWidth="1"/>
    <col min="2" max="2" width="24.33203125" customWidth="1"/>
    <col min="3" max="3" width="19" customWidth="1"/>
    <col min="4" max="4" width="1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6.5099999999999999E-4</v>
      </c>
      <c r="B2">
        <f t="shared" ref="B2:B7" si="0">A2*1000000</f>
        <v>651</v>
      </c>
      <c r="C2">
        <v>0</v>
      </c>
    </row>
    <row r="3" spans="1:3" x14ac:dyDescent="0.3">
      <c r="A3">
        <v>6.5499999999999998E-4</v>
      </c>
      <c r="B3">
        <f t="shared" si="0"/>
        <v>655</v>
      </c>
      <c r="C3">
        <v>200</v>
      </c>
    </row>
    <row r="4" spans="1:3" x14ac:dyDescent="0.3">
      <c r="A4">
        <v>6.5799999999999995E-4</v>
      </c>
      <c r="B4">
        <f t="shared" si="0"/>
        <v>658</v>
      </c>
      <c r="C4">
        <v>400</v>
      </c>
    </row>
    <row r="5" spans="1:3" x14ac:dyDescent="0.3">
      <c r="A5">
        <v>6.6200000000000005E-4</v>
      </c>
      <c r="B5">
        <f t="shared" si="0"/>
        <v>662</v>
      </c>
      <c r="C5">
        <v>600</v>
      </c>
    </row>
    <row r="6" spans="1:3" x14ac:dyDescent="0.3">
      <c r="A6">
        <v>6.6699999999999995E-4</v>
      </c>
      <c r="B6">
        <f t="shared" si="0"/>
        <v>667</v>
      </c>
      <c r="C6">
        <v>800</v>
      </c>
    </row>
    <row r="7" spans="1:3" x14ac:dyDescent="0.3">
      <c r="A7">
        <v>6.7000000000000002E-4</v>
      </c>
      <c r="B7">
        <f t="shared" si="0"/>
        <v>670</v>
      </c>
      <c r="C7">
        <v>1000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D43C0-1959-4858-BCB4-7D5903D61332}">
  <dimension ref="A1:C7"/>
  <sheetViews>
    <sheetView workbookViewId="0">
      <selection activeCell="B2" sqref="B2"/>
    </sheetView>
  </sheetViews>
  <sheetFormatPr defaultRowHeight="14.4" x14ac:dyDescent="0.3"/>
  <cols>
    <col min="1" max="1" width="18.44140625" bestFit="1" customWidth="1"/>
    <col min="2" max="2" width="15.109375" customWidth="1"/>
    <col min="3" max="3" width="13.88671875" customWidth="1"/>
    <col min="4" max="4" width="10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1.92E-4</v>
      </c>
      <c r="B2">
        <f t="shared" ref="B2:B7" si="0">A2*1000000</f>
        <v>192</v>
      </c>
      <c r="C2">
        <v>0</v>
      </c>
    </row>
    <row r="3" spans="1:3" x14ac:dyDescent="0.3">
      <c r="A3">
        <v>1.83E-4</v>
      </c>
      <c r="B3">
        <f t="shared" si="0"/>
        <v>183</v>
      </c>
      <c r="C3">
        <v>200</v>
      </c>
    </row>
    <row r="4" spans="1:3" x14ac:dyDescent="0.3">
      <c r="A4">
        <v>1.7200000000000001E-4</v>
      </c>
      <c r="B4">
        <f t="shared" si="0"/>
        <v>172</v>
      </c>
      <c r="C4">
        <v>400</v>
      </c>
    </row>
    <row r="5" spans="1:3" x14ac:dyDescent="0.3">
      <c r="A5">
        <v>1.63E-4</v>
      </c>
      <c r="B5">
        <f t="shared" si="0"/>
        <v>163</v>
      </c>
      <c r="C5">
        <v>600</v>
      </c>
    </row>
    <row r="6" spans="1:3" x14ac:dyDescent="0.3">
      <c r="A6">
        <v>1.54E-4</v>
      </c>
      <c r="B6">
        <f t="shared" si="0"/>
        <v>154</v>
      </c>
      <c r="C6">
        <v>800</v>
      </c>
    </row>
    <row r="7" spans="1:3" x14ac:dyDescent="0.3">
      <c r="A7">
        <v>1.4300000000000001E-4</v>
      </c>
      <c r="B7">
        <f t="shared" si="0"/>
        <v>143</v>
      </c>
      <c r="C7">
        <v>1000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580527-9097-4AC6-B124-BDC44D6BB3B7}">
  <dimension ref="A1:K13"/>
  <sheetViews>
    <sheetView workbookViewId="0">
      <selection sqref="A1:E13"/>
    </sheetView>
  </sheetViews>
  <sheetFormatPr defaultRowHeight="14.4" x14ac:dyDescent="0.3"/>
  <cols>
    <col min="1" max="1" width="20.5546875" bestFit="1" customWidth="1"/>
    <col min="2" max="2" width="12.33203125" bestFit="1" customWidth="1"/>
    <col min="3" max="3" width="10.44140625" bestFit="1" customWidth="1"/>
    <col min="4" max="7" width="16.109375" customWidth="1"/>
    <col min="8" max="8" width="10" bestFit="1" customWidth="1"/>
  </cols>
  <sheetData>
    <row r="1" spans="1:11" x14ac:dyDescent="0.3">
      <c r="A1" t="s">
        <v>0</v>
      </c>
      <c r="B1" t="s">
        <v>1</v>
      </c>
      <c r="C1" t="s">
        <v>2</v>
      </c>
      <c r="E1" t="s">
        <v>6</v>
      </c>
      <c r="G1" t="s">
        <v>5</v>
      </c>
      <c r="H1" t="s">
        <v>0</v>
      </c>
      <c r="I1" t="s">
        <v>1</v>
      </c>
      <c r="J1" t="s">
        <v>2</v>
      </c>
    </row>
    <row r="2" spans="1:11" x14ac:dyDescent="0.3">
      <c r="A2">
        <v>2.7779999999999998E-4</v>
      </c>
      <c r="B2">
        <f t="shared" ref="B2:B12" si="0">A2*1000000</f>
        <v>277.79999999999995</v>
      </c>
      <c r="C2">
        <v>0</v>
      </c>
      <c r="D2" t="s">
        <v>3</v>
      </c>
      <c r="G2">
        <f>A2-H2</f>
        <v>9.019999999999997E-5</v>
      </c>
      <c r="H2">
        <v>1.8760000000000001E-4</v>
      </c>
      <c r="I2">
        <f t="shared" ref="I2:I12" si="1">H2*1000000</f>
        <v>187.6</v>
      </c>
      <c r="J2">
        <v>0</v>
      </c>
      <c r="K2" t="s">
        <v>4</v>
      </c>
    </row>
    <row r="3" spans="1:11" x14ac:dyDescent="0.3">
      <c r="A3">
        <v>2.7629999999999999E-4</v>
      </c>
      <c r="B3">
        <f t="shared" si="0"/>
        <v>276.3</v>
      </c>
      <c r="C3">
        <v>100</v>
      </c>
      <c r="E3" s="1">
        <f>(A2-A3)</f>
        <v>1.4999999999999823E-6</v>
      </c>
      <c r="J3">
        <v>100</v>
      </c>
    </row>
    <row r="4" spans="1:11" x14ac:dyDescent="0.3">
      <c r="A4">
        <v>2.7480000000000001E-4</v>
      </c>
      <c r="B4">
        <f t="shared" si="0"/>
        <v>274.8</v>
      </c>
      <c r="C4">
        <v>200</v>
      </c>
      <c r="E4" s="1">
        <f t="shared" ref="E4:E12" si="2">(A3-A4)</f>
        <v>1.4999999999999823E-6</v>
      </c>
      <c r="G4">
        <f>A4-H4</f>
        <v>9.0000000000000019E-5</v>
      </c>
      <c r="H4">
        <v>1.8479999999999999E-4</v>
      </c>
      <c r="I4">
        <f t="shared" si="1"/>
        <v>184.79999999999998</v>
      </c>
      <c r="J4">
        <v>200</v>
      </c>
    </row>
    <row r="5" spans="1:11" x14ac:dyDescent="0.3">
      <c r="A5">
        <v>2.7369999999999998E-4</v>
      </c>
      <c r="B5">
        <f t="shared" si="0"/>
        <v>273.7</v>
      </c>
      <c r="C5">
        <v>300</v>
      </c>
      <c r="E5" s="1">
        <f t="shared" si="2"/>
        <v>1.1000000000000267E-6</v>
      </c>
      <c r="J5">
        <v>300</v>
      </c>
    </row>
    <row r="6" spans="1:11" x14ac:dyDescent="0.3">
      <c r="A6">
        <v>2.721E-4</v>
      </c>
      <c r="B6">
        <f t="shared" si="0"/>
        <v>272.10000000000002</v>
      </c>
      <c r="C6">
        <v>400</v>
      </c>
      <c r="E6" s="1">
        <f t="shared" si="2"/>
        <v>1.5999999999999847E-6</v>
      </c>
      <c r="G6">
        <f>A6-H6</f>
        <v>8.9700000000000012E-5</v>
      </c>
      <c r="H6">
        <v>1.8239999999999999E-4</v>
      </c>
      <c r="I6">
        <f t="shared" si="1"/>
        <v>182.39999999999998</v>
      </c>
      <c r="J6">
        <v>400</v>
      </c>
    </row>
    <row r="7" spans="1:11" x14ac:dyDescent="0.3">
      <c r="A7">
        <v>2.7090000000000003E-4</v>
      </c>
      <c r="B7">
        <f t="shared" si="0"/>
        <v>270.90000000000003</v>
      </c>
      <c r="C7">
        <v>500</v>
      </c>
      <c r="E7" s="1">
        <f t="shared" si="2"/>
        <v>1.199999999999975E-6</v>
      </c>
      <c r="J7">
        <v>500</v>
      </c>
    </row>
    <row r="8" spans="1:11" x14ac:dyDescent="0.3">
      <c r="A8">
        <v>2.6959999999999999E-4</v>
      </c>
      <c r="B8">
        <f t="shared" si="0"/>
        <v>269.59999999999997</v>
      </c>
      <c r="C8">
        <v>600</v>
      </c>
      <c r="E8" s="1">
        <f t="shared" si="2"/>
        <v>1.3000000000000316E-6</v>
      </c>
      <c r="G8">
        <f>A8-H8</f>
        <v>8.9999999999999992E-5</v>
      </c>
      <c r="H8">
        <v>1.796E-4</v>
      </c>
      <c r="I8">
        <f t="shared" si="1"/>
        <v>179.6</v>
      </c>
      <c r="J8">
        <v>600</v>
      </c>
    </row>
    <row r="9" spans="1:11" x14ac:dyDescent="0.3">
      <c r="A9">
        <v>2.6810000000000001E-4</v>
      </c>
      <c r="B9">
        <f t="shared" si="0"/>
        <v>268.10000000000002</v>
      </c>
      <c r="C9">
        <v>700</v>
      </c>
      <c r="E9" s="1">
        <f t="shared" si="2"/>
        <v>1.4999999999999823E-6</v>
      </c>
      <c r="J9">
        <v>700</v>
      </c>
    </row>
    <row r="10" spans="1:11" x14ac:dyDescent="0.3">
      <c r="A10">
        <v>2.6669999999999998E-4</v>
      </c>
      <c r="B10">
        <f t="shared" si="0"/>
        <v>266.7</v>
      </c>
      <c r="C10">
        <v>810</v>
      </c>
      <c r="E10" s="1">
        <f t="shared" si="2"/>
        <v>1.400000000000034E-6</v>
      </c>
      <c r="G10">
        <f>A10-H10</f>
        <v>8.989999999999999E-5</v>
      </c>
      <c r="H10">
        <v>1.7679999999999999E-4</v>
      </c>
      <c r="I10">
        <f t="shared" si="1"/>
        <v>176.79999999999998</v>
      </c>
      <c r="J10">
        <v>810</v>
      </c>
    </row>
    <row r="11" spans="1:11" x14ac:dyDescent="0.3">
      <c r="A11">
        <v>2.656E-4</v>
      </c>
      <c r="B11">
        <f t="shared" si="0"/>
        <v>265.60000000000002</v>
      </c>
      <c r="C11">
        <v>900</v>
      </c>
      <c r="E11" s="1">
        <f t="shared" si="2"/>
        <v>1.0999999999999725E-6</v>
      </c>
      <c r="J11">
        <v>900</v>
      </c>
    </row>
    <row r="12" spans="1:11" x14ac:dyDescent="0.3">
      <c r="A12">
        <v>2.6420000000000003E-4</v>
      </c>
      <c r="B12">
        <f t="shared" si="0"/>
        <v>264.20000000000005</v>
      </c>
      <c r="C12">
        <v>1000</v>
      </c>
      <c r="E12" s="1">
        <f t="shared" si="2"/>
        <v>1.3999999999999798E-6</v>
      </c>
      <c r="G12">
        <f>A12-H12</f>
        <v>9.0000000000000019E-5</v>
      </c>
      <c r="H12">
        <v>1.7420000000000001E-4</v>
      </c>
      <c r="I12">
        <f t="shared" si="1"/>
        <v>174.20000000000002</v>
      </c>
      <c r="J12">
        <v>1000</v>
      </c>
    </row>
    <row r="13" spans="1:11" x14ac:dyDescent="0.3">
      <c r="D13" s="2" t="s">
        <v>7</v>
      </c>
      <c r="E13" s="1">
        <f>AVERAGE(E3:E12)</f>
        <v>1.359999999999995E-6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B5F3CB-91D7-424A-AB0C-D35F812BBC43}">
  <dimension ref="A1:K5"/>
  <sheetViews>
    <sheetView workbookViewId="0">
      <selection activeCell="B5" sqref="B5"/>
    </sheetView>
  </sheetViews>
  <sheetFormatPr defaultRowHeight="14.4" x14ac:dyDescent="0.3"/>
  <cols>
    <col min="1" max="1" width="20.5546875" bestFit="1" customWidth="1"/>
    <col min="2" max="2" width="12.33203125" bestFit="1" customWidth="1"/>
    <col min="3" max="3" width="10.44140625" bestFit="1" customWidth="1"/>
    <col min="4" max="7" width="16.109375" customWidth="1"/>
    <col min="8" max="8" width="10" bestFit="1" customWidth="1"/>
  </cols>
  <sheetData>
    <row r="1" spans="1:11" x14ac:dyDescent="0.3">
      <c r="A1" t="s">
        <v>0</v>
      </c>
      <c r="B1" t="s">
        <v>1</v>
      </c>
      <c r="C1" t="s">
        <v>2</v>
      </c>
      <c r="E1" t="s">
        <v>6</v>
      </c>
      <c r="G1" t="s">
        <v>5</v>
      </c>
      <c r="H1" t="s">
        <v>0</v>
      </c>
      <c r="I1" t="s">
        <v>1</v>
      </c>
      <c r="J1" t="s">
        <v>2</v>
      </c>
    </row>
    <row r="2" spans="1:11" x14ac:dyDescent="0.3">
      <c r="B2">
        <v>2263</v>
      </c>
      <c r="C2">
        <v>0</v>
      </c>
      <c r="D2" t="s">
        <v>8</v>
      </c>
      <c r="G2">
        <f>A2-H2</f>
        <v>-1.8760000000000001E-4</v>
      </c>
      <c r="H2">
        <v>1.8760000000000001E-4</v>
      </c>
      <c r="I2">
        <f t="shared" ref="I2:I4" si="0">H2*1000000</f>
        <v>187.6</v>
      </c>
      <c r="J2">
        <v>0</v>
      </c>
      <c r="K2" t="s">
        <v>4</v>
      </c>
    </row>
    <row r="3" spans="1:11" x14ac:dyDescent="0.3">
      <c r="B3">
        <v>2012.3</v>
      </c>
      <c r="C3">
        <v>2000</v>
      </c>
      <c r="E3" s="1">
        <f>(B2-B3)</f>
        <v>250.70000000000005</v>
      </c>
      <c r="G3">
        <f>A3-H3</f>
        <v>-1.8479999999999999E-4</v>
      </c>
      <c r="H3">
        <v>1.8479999999999999E-4</v>
      </c>
      <c r="I3">
        <f t="shared" si="0"/>
        <v>184.79999999999998</v>
      </c>
      <c r="J3">
        <v>200</v>
      </c>
    </row>
    <row r="4" spans="1:11" x14ac:dyDescent="0.3">
      <c r="B4">
        <v>1764.59</v>
      </c>
      <c r="C4">
        <v>4000</v>
      </c>
      <c r="E4" s="1">
        <f>(B3-B4)</f>
        <v>247.71000000000004</v>
      </c>
      <c r="G4">
        <f>A4-H4</f>
        <v>-1.7420000000000001E-4</v>
      </c>
      <c r="H4">
        <v>1.7420000000000001E-4</v>
      </c>
      <c r="I4">
        <f t="shared" si="0"/>
        <v>174.20000000000002</v>
      </c>
      <c r="J4">
        <v>1000</v>
      </c>
    </row>
    <row r="5" spans="1:11" x14ac:dyDescent="0.3">
      <c r="D5" s="2" t="s">
        <v>7</v>
      </c>
      <c r="E5" s="1">
        <f>AVERAGE(E3:E4)</f>
        <v>249.20500000000004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A54C4-6D0C-475A-A7C6-45D9BA9F5E05}">
  <dimension ref="A1:K5"/>
  <sheetViews>
    <sheetView workbookViewId="0">
      <selection activeCell="I1" sqref="I1"/>
    </sheetView>
  </sheetViews>
  <sheetFormatPr defaultRowHeight="14.4" x14ac:dyDescent="0.3"/>
  <cols>
    <col min="1" max="1" width="20.5546875" bestFit="1" customWidth="1"/>
    <col min="2" max="2" width="12.33203125" bestFit="1" customWidth="1"/>
    <col min="3" max="3" width="10.44140625" bestFit="1" customWidth="1"/>
    <col min="4" max="7" width="16.109375" customWidth="1"/>
    <col min="8" max="8" width="10" bestFit="1" customWidth="1"/>
  </cols>
  <sheetData>
    <row r="1" spans="1:11" x14ac:dyDescent="0.3">
      <c r="A1" t="s">
        <v>0</v>
      </c>
      <c r="B1" t="s">
        <v>1</v>
      </c>
      <c r="C1" t="s">
        <v>2</v>
      </c>
      <c r="E1" t="s">
        <v>6</v>
      </c>
      <c r="G1" t="s">
        <v>5</v>
      </c>
      <c r="H1" t="s">
        <v>0</v>
      </c>
      <c r="I1" t="s">
        <v>1</v>
      </c>
      <c r="J1" t="s">
        <v>2</v>
      </c>
    </row>
    <row r="2" spans="1:11" x14ac:dyDescent="0.3">
      <c r="B2">
        <v>2263</v>
      </c>
      <c r="C2">
        <v>0</v>
      </c>
      <c r="D2" t="s">
        <v>8</v>
      </c>
      <c r="G2">
        <f>A2-H2</f>
        <v>-1.8760000000000001E-4</v>
      </c>
      <c r="H2">
        <v>1.8760000000000001E-4</v>
      </c>
      <c r="I2">
        <f t="shared" ref="I2:I4" si="0">H2*1000000</f>
        <v>187.6</v>
      </c>
      <c r="J2">
        <v>0</v>
      </c>
      <c r="K2" t="s">
        <v>4</v>
      </c>
    </row>
    <row r="3" spans="1:11" x14ac:dyDescent="0.3">
      <c r="B3">
        <v>2012.3</v>
      </c>
      <c r="C3">
        <v>2000</v>
      </c>
      <c r="E3" s="1">
        <f>(B2-B3)</f>
        <v>250.70000000000005</v>
      </c>
      <c r="G3">
        <f>A3-H3</f>
        <v>-1.8479999999999999E-4</v>
      </c>
      <c r="H3">
        <v>1.8479999999999999E-4</v>
      </c>
      <c r="I3">
        <f t="shared" si="0"/>
        <v>184.79999999999998</v>
      </c>
      <c r="J3">
        <v>200</v>
      </c>
    </row>
    <row r="4" spans="1:11" x14ac:dyDescent="0.3">
      <c r="B4">
        <v>1764.59</v>
      </c>
      <c r="C4">
        <v>4000</v>
      </c>
      <c r="E4" s="1">
        <f>(B3-B4)</f>
        <v>247.71000000000004</v>
      </c>
      <c r="G4">
        <f>A4-H4</f>
        <v>-1.7420000000000001E-4</v>
      </c>
      <c r="H4">
        <v>1.7420000000000001E-4</v>
      </c>
      <c r="I4">
        <f t="shared" si="0"/>
        <v>174.20000000000002</v>
      </c>
      <c r="J4">
        <v>1000</v>
      </c>
    </row>
    <row r="5" spans="1:11" x14ac:dyDescent="0.3">
      <c r="D5" s="2" t="s">
        <v>7</v>
      </c>
      <c r="E5" s="1">
        <f>AVERAGE(E3:E4)</f>
        <v>249.20500000000004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3BD3F-D032-4F42-AA03-AFC409BCF0B4}">
  <dimension ref="C1:D9"/>
  <sheetViews>
    <sheetView tabSelected="1" workbookViewId="0">
      <selection activeCell="D9" sqref="D9"/>
    </sheetView>
  </sheetViews>
  <sheetFormatPr defaultRowHeight="14.4" x14ac:dyDescent="0.3"/>
  <sheetData>
    <row r="1" spans="3:4" x14ac:dyDescent="0.3">
      <c r="C1" t="s">
        <v>1</v>
      </c>
      <c r="D1" t="s">
        <v>2</v>
      </c>
    </row>
    <row r="2" spans="3:4" x14ac:dyDescent="0.3">
      <c r="C2">
        <v>-507</v>
      </c>
      <c r="D2">
        <v>0</v>
      </c>
    </row>
    <row r="3" spans="3:4" x14ac:dyDescent="0.3">
      <c r="C3">
        <v>-515</v>
      </c>
      <c r="D3">
        <v>500</v>
      </c>
    </row>
    <row r="4" spans="3:4" x14ac:dyDescent="0.3">
      <c r="C4">
        <v>-523</v>
      </c>
      <c r="D4">
        <v>1000</v>
      </c>
    </row>
    <row r="5" spans="3:4" x14ac:dyDescent="0.3">
      <c r="C5">
        <v>-530</v>
      </c>
      <c r="D5">
        <v>1500</v>
      </c>
    </row>
    <row r="6" spans="3:4" x14ac:dyDescent="0.3">
      <c r="C6">
        <v>-538</v>
      </c>
      <c r="D6">
        <v>2000</v>
      </c>
    </row>
    <row r="7" spans="3:4" x14ac:dyDescent="0.3">
      <c r="C7">
        <v>-552</v>
      </c>
      <c r="D7">
        <v>2500</v>
      </c>
    </row>
    <row r="9" spans="3:4" x14ac:dyDescent="0.3">
      <c r="C9">
        <f>SLOPE(D2:D7,C2:C7)</f>
        <v>-57.28968405024743</v>
      </c>
      <c r="D9">
        <f>INTERCEPT(D2:D7,C2:C7)</f>
        <v>-28970.308336505521</v>
      </c>
    </row>
  </sheetData>
  <pageMargins left="0.7" right="0.7" top="0.75" bottom="0.75" header="0.3" footer="0.3"/>
  <drawing r:id="rId1"/>
</worksheet>
</file>

<file path=docMetadata/LabelInfo.xml><?xml version="1.0" encoding="utf-8"?>
<clbl:labelList xmlns:clbl="http://schemas.microsoft.com/office/2020/mipLabelMetadata">
  <clbl:label id="{59096ad9-8b60-446a-90b7-017dbb9421a3}" enabled="1" method="Standard" siteId="{3d234255-e20f-4205-88a5-9658a402999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hacked</vt:lpstr>
      <vt:lpstr>hacked (2)</vt:lpstr>
      <vt:lpstr>hacked(large)</vt:lpstr>
      <vt:lpstr>Large_scale_CarrollCyn</vt:lpstr>
      <vt:lpstr>Large_scale_Carroll</vt:lpstr>
      <vt:lpstr>CVC</vt:lpstr>
    </vt:vector>
  </TitlesOfParts>
  <Company>WSP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Messina, Alex</dc:creator>
  <cp:lastModifiedBy>Messina, Alex</cp:lastModifiedBy>
  <dcterms:created xsi:type="dcterms:W3CDTF">2024-08-08T20:52:07Z</dcterms:created>
  <dcterms:modified xsi:type="dcterms:W3CDTF">2025-12-20T17:33:43Z</dcterms:modified>
</cp:coreProperties>
</file>