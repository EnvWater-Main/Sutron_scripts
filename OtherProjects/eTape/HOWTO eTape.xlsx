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sponlinenam-my.sharepoint.com/personal/alex_messina_wsp_com/Documents/Documents/GitHub/Sutron_scripts/OtherProjects/eTape/"/>
    </mc:Choice>
  </mc:AlternateContent>
  <xr:revisionPtr revIDLastSave="10" documentId="8_{4BAA0260-9A4B-47EE-961C-BC9D06697A64}" xr6:coauthVersionLast="47" xr6:coauthVersionMax="47" xr10:uidLastSave="{370A336F-8539-4149-978F-8B768402E261}"/>
  <bookViews>
    <workbookView xWindow="-108" yWindow="-108" windowWidth="23256" windowHeight="14016" activeTab="1" xr2:uid="{52488E03-AD71-44D1-99F8-C8F067B1FA2B}"/>
  </bookViews>
  <sheets>
    <sheet name="Calibration" sheetId="1" r:id="rId1"/>
    <sheet name="Sutron confi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4" i="1"/>
</calcChain>
</file>

<file path=xl/sharedStrings.xml><?xml version="1.0" encoding="utf-8"?>
<sst xmlns="http://schemas.openxmlformats.org/spreadsheetml/2006/main" count="18" uniqueCount="17">
  <si>
    <t>Level</t>
  </si>
  <si>
    <t>Voltage</t>
  </si>
  <si>
    <t>seems like it only works well from 2 inches up to 8</t>
  </si>
  <si>
    <t>https://milonetech.com/products/standard-etape-assembly</t>
  </si>
  <si>
    <t>https://drive.google.com/file/d/1e1clSpS_kRFIVrTT3_lmod_7EVykghJU/view</t>
  </si>
  <si>
    <t>May need a Python script to do two different calibrations; 0-2inchs, then 2-8 inches</t>
  </si>
  <si>
    <t>Measure Type</t>
  </si>
  <si>
    <t>Analog</t>
  </si>
  <si>
    <t>Right Digits</t>
  </si>
  <si>
    <t>Analog Type</t>
  </si>
  <si>
    <t>0-5V</t>
  </si>
  <si>
    <t>Red</t>
  </si>
  <si>
    <t>12V (Prot +12V)</t>
  </si>
  <si>
    <t>Black</t>
  </si>
  <si>
    <t>GRND (Prot Grnd)</t>
  </si>
  <si>
    <t>White</t>
  </si>
  <si>
    <t>A (analog port A on top right of Sutron)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</si>
</sst>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Calibration!$B$6:$B$12</c:f>
              <c:numCache>
                <c:formatCode>General</c:formatCode>
                <c:ptCount val="7"/>
                <c:pt idx="0">
                  <c:v>0.26269999999999999</c:v>
                </c:pt>
                <c:pt idx="1">
                  <c:v>0.94199999999999995</c:v>
                </c:pt>
                <c:pt idx="2">
                  <c:v>1.5718000000000001</c:v>
                </c:pt>
                <c:pt idx="3">
                  <c:v>2.2742</c:v>
                </c:pt>
                <c:pt idx="4">
                  <c:v>3.1286</c:v>
                </c:pt>
                <c:pt idx="5">
                  <c:v>3.9056000000000002</c:v>
                </c:pt>
                <c:pt idx="6">
                  <c:v>4.5255999999999998</c:v>
                </c:pt>
              </c:numCache>
            </c:numRef>
          </c:xVal>
          <c:yVal>
            <c:numRef>
              <c:f>Calibration!$A$6:$A$12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E8-45B4-AA9B-378E1525F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915984"/>
        <c:axId val="775914544"/>
      </c:scatterChart>
      <c:valAx>
        <c:axId val="77591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914544"/>
        <c:crosses val="autoZero"/>
        <c:crossBetween val="midCat"/>
      </c:valAx>
      <c:valAx>
        <c:axId val="77591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91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Calibration!$B$4:$B$12</c:f>
              <c:numCache>
                <c:formatCode>General</c:formatCode>
                <c:ptCount val="9"/>
                <c:pt idx="0">
                  <c:v>0.21870000000000001</c:v>
                </c:pt>
                <c:pt idx="1">
                  <c:v>0.21859999999999999</c:v>
                </c:pt>
                <c:pt idx="2">
                  <c:v>0.26269999999999999</c:v>
                </c:pt>
                <c:pt idx="3">
                  <c:v>0.94199999999999995</c:v>
                </c:pt>
                <c:pt idx="4">
                  <c:v>1.5718000000000001</c:v>
                </c:pt>
                <c:pt idx="5">
                  <c:v>2.2742</c:v>
                </c:pt>
                <c:pt idx="6">
                  <c:v>3.1286</c:v>
                </c:pt>
                <c:pt idx="7">
                  <c:v>3.9056000000000002</c:v>
                </c:pt>
                <c:pt idx="8">
                  <c:v>4.5255999999999998</c:v>
                </c:pt>
              </c:numCache>
            </c:numRef>
          </c:xVal>
          <c:yVal>
            <c:numRef>
              <c:f>Calibration!$A$4:$A$12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0B-42BC-ACF5-A470AFFF8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915984"/>
        <c:axId val="775914544"/>
      </c:scatterChart>
      <c:valAx>
        <c:axId val="77591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914544"/>
        <c:crosses val="autoZero"/>
        <c:crossBetween val="midCat"/>
      </c:valAx>
      <c:valAx>
        <c:axId val="77591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91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Calibration!$B$4:$B$6</c:f>
              <c:numCache>
                <c:formatCode>General</c:formatCode>
                <c:ptCount val="3"/>
                <c:pt idx="0">
                  <c:v>0.21870000000000001</c:v>
                </c:pt>
                <c:pt idx="1">
                  <c:v>0.21859999999999999</c:v>
                </c:pt>
                <c:pt idx="2">
                  <c:v>0.26269999999999999</c:v>
                </c:pt>
              </c:numCache>
            </c:numRef>
          </c:xVal>
          <c:yVal>
            <c:numRef>
              <c:f>Calibration!$A$4:$A$6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43-4912-BC85-241AE49D7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915984"/>
        <c:axId val="775914544"/>
      </c:scatterChart>
      <c:valAx>
        <c:axId val="77591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914544"/>
        <c:crosses val="autoZero"/>
        <c:crossBetween val="midCat"/>
      </c:valAx>
      <c:valAx>
        <c:axId val="77591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91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274320</xdr:colOff>
      <xdr:row>20</xdr:row>
      <xdr:rowOff>53340</xdr:rowOff>
    </xdr:from>
    <xdr:to>
      <xdr:col>18</xdr:col>
      <xdr:colOff>579120</xdr:colOff>
      <xdr:row>35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E9D341-1549-453D-9655-2A73B63A08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5</xdr:row>
      <xdr:rowOff>0</xdr:rowOff>
    </xdr:from>
    <xdr:to>
      <xdr:col>11</xdr:col>
      <xdr:colOff>304800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F7F516-AD90-47AD-A13A-E3C5913879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21</xdr:row>
      <xdr:rowOff>0</xdr:rowOff>
    </xdr:from>
    <xdr:to>
      <xdr:col>11</xdr:col>
      <xdr:colOff>304800</xdr:colOff>
      <xdr:row>36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9888FB-635F-4CDA-A275-64A77EF052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464820</xdr:colOff>
      <xdr:row>2</xdr:row>
      <xdr:rowOff>102034</xdr:rowOff>
    </xdr:from>
    <xdr:to>
      <xdr:col>11</xdr:col>
      <xdr:colOff>134208</xdr:colOff>
      <xdr:row>30</xdr:row>
      <xdr:rowOff>137878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EAE3C7-C7CB-B2A6-ED4C-24C0B3105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3620" y="467794"/>
          <a:ext cx="4546188" cy="5156484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16</xdr:col>
      <xdr:colOff>312420</xdr:colOff>
      <xdr:row>19</xdr:row>
      <xdr:rowOff>6237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55D6CB-6BC7-F415-E4BE-F5589D45D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548640"/>
          <a:ext cx="2750820" cy="2932317"/>
        </a:xfrm>
        <a:prstGeom prst="rect">
          <a:avLst/>
        </a:prstGeom>
      </xdr:spPr>
    </xdr:pic>
    <xdr:clientData/>
  </xdr:twoCellAnchor>
  <xdr:twoCellAnchor>
    <xdr:from>
      <xdr:col>11</xdr:col>
      <xdr:colOff>581024</xdr:colOff>
      <xdr:row>20</xdr:row>
      <xdr:rowOff>22860</xdr:rowOff>
    </xdr:from>
    <xdr:to>
      <xdr:col>22</xdr:col>
      <xdr:colOff>327659</xdr:colOff>
      <xdr:row>67</xdr:row>
      <xdr:rowOff>30480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61E657-AC14-BECD-E026-2D1B16F89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4" y="3680460"/>
          <a:ext cx="6452235" cy="8602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EA5B-BD47-43CB-9BAD-ECAE7EFB2E80}">
  <dimension ref="A1:E12"/>
  <sheetViews>
    <sheetView workbookViewId="0">
      <selection activeCell="E2" sqref="E2"/>
    </sheetView>
  </sheetViews>
  <sheetFormatPr defaultRowHeight="14.4" x14ac:dyDescent="0.3"/>
  <cols>
    <col min="4" max="4" width="16.21875" customWidth="1"/>
  </cols>
  <sheetData>
    <row r="1" spans="1:5" x14ac:dyDescent="0.3">
      <c r="A1" t="s">
        <v>2</v>
      </c>
      <c r="E1" t="s">
        <v>3</v>
      </c>
    </row>
    <row r="2" spans="1:5" x14ac:dyDescent="0.3">
      <c r="E2" t="s">
        <v>4</v>
      </c>
    </row>
    <row r="3" spans="1:5" x14ac:dyDescent="0.3">
      <c r="A3" t="s">
        <v>0</v>
      </c>
      <c r="B3" t="s">
        <v>1</v>
      </c>
      <c r="C3" t="s">
        <v>0</v>
      </c>
    </row>
    <row r="4" spans="1:5" x14ac:dyDescent="0.3">
      <c r="A4">
        <v>0</v>
      </c>
      <c r="B4">
        <v>0.21870000000000001</v>
      </c>
      <c r="C4">
        <v>0</v>
      </c>
      <c r="D4">
        <f>2.02 * B4 - 0.37</f>
        <v>7.1774000000000004E-2</v>
      </c>
    </row>
    <row r="5" spans="1:5" x14ac:dyDescent="0.3">
      <c r="A5">
        <v>1</v>
      </c>
      <c r="B5">
        <v>0.21859999999999999</v>
      </c>
      <c r="C5">
        <v>1</v>
      </c>
      <c r="D5">
        <f t="shared" ref="D5:D12" si="0">2.02 * B5 - 0.37</f>
        <v>7.1571999999999969E-2</v>
      </c>
    </row>
    <row r="6" spans="1:5" x14ac:dyDescent="0.3">
      <c r="A6">
        <v>2</v>
      </c>
      <c r="B6">
        <v>0.26269999999999999</v>
      </c>
      <c r="C6">
        <v>2</v>
      </c>
      <c r="D6">
        <f t="shared" si="0"/>
        <v>0.16065399999999996</v>
      </c>
    </row>
    <row r="7" spans="1:5" x14ac:dyDescent="0.3">
      <c r="A7">
        <v>3</v>
      </c>
      <c r="B7">
        <v>0.94199999999999995</v>
      </c>
      <c r="C7">
        <v>3</v>
      </c>
      <c r="D7">
        <f t="shared" si="0"/>
        <v>1.5328399999999998</v>
      </c>
    </row>
    <row r="8" spans="1:5" x14ac:dyDescent="0.3">
      <c r="A8">
        <v>4</v>
      </c>
      <c r="B8">
        <v>1.5718000000000001</v>
      </c>
      <c r="C8">
        <v>4</v>
      </c>
      <c r="D8">
        <f t="shared" si="0"/>
        <v>2.8050360000000003</v>
      </c>
    </row>
    <row r="9" spans="1:5" x14ac:dyDescent="0.3">
      <c r="A9">
        <v>5</v>
      </c>
      <c r="B9">
        <v>2.2742</v>
      </c>
      <c r="C9">
        <v>5</v>
      </c>
      <c r="D9">
        <f t="shared" si="0"/>
        <v>4.223884</v>
      </c>
    </row>
    <row r="10" spans="1:5" x14ac:dyDescent="0.3">
      <c r="A10">
        <v>6</v>
      </c>
      <c r="B10">
        <v>3.1286</v>
      </c>
      <c r="C10">
        <v>6</v>
      </c>
      <c r="D10">
        <f t="shared" si="0"/>
        <v>5.9497720000000003</v>
      </c>
    </row>
    <row r="11" spans="1:5" x14ac:dyDescent="0.3">
      <c r="A11">
        <v>7</v>
      </c>
      <c r="B11">
        <v>3.9056000000000002</v>
      </c>
      <c r="C11">
        <v>7</v>
      </c>
      <c r="D11">
        <f t="shared" si="0"/>
        <v>7.5193120000000002</v>
      </c>
    </row>
    <row r="12" spans="1:5" x14ac:dyDescent="0.3">
      <c r="A12">
        <v>8</v>
      </c>
      <c r="B12">
        <v>4.5255999999999998</v>
      </c>
      <c r="C12">
        <v>8</v>
      </c>
      <c r="D12">
        <f t="shared" si="0"/>
        <v>8.7717120000000008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35D22-C900-4656-8F90-675CDC49D8D4}">
  <dimension ref="A1:B9"/>
  <sheetViews>
    <sheetView tabSelected="1" topLeftCell="A13" workbookViewId="0">
      <selection activeCell="M21" sqref="M21"/>
    </sheetView>
  </sheetViews>
  <sheetFormatPr defaultRowHeight="14.4" x14ac:dyDescent="0.3"/>
  <sheetData>
    <row r="1" spans="1:2" x14ac:dyDescent="0.3">
      <c r="A1" t="s">
        <v>5</v>
      </c>
    </row>
    <row r="3" spans="1:2" x14ac:dyDescent="0.3">
      <c r="A3" t="s">
        <v>6</v>
      </c>
      <c r="B3" t="s">
        <v>7</v>
      </c>
    </row>
    <row r="4" spans="1:2" x14ac:dyDescent="0.3">
      <c r="A4" t="s">
        <v>8</v>
      </c>
      <c r="B4">
        <v>4</v>
      </c>
    </row>
    <row r="5" spans="1:2" x14ac:dyDescent="0.3">
      <c r="A5" t="s">
        <v>9</v>
      </c>
      <c r="B5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Calibration</vt:lpstr>
      <vt:lpstr>Sutron config</vt:lpstr>
    </vt:vector>
  </TitlesOfParts>
  <Company>WSP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Messina, Alex</dc:creator>
  <cp:lastModifiedBy>Messina, Alex</cp:lastModifiedBy>
  <dcterms:created xsi:type="dcterms:W3CDTF">2024-11-14T22:07:39Z</dcterms:created>
  <dcterms:modified xsi:type="dcterms:W3CDTF">2024-11-14T23:50:18Z</dcterms:modified>
</cp:coreProperties>
</file>