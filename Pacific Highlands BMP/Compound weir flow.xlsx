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Pacific Highlands BMP/"/>
    </mc:Choice>
  </mc:AlternateContent>
  <xr:revisionPtr revIDLastSave="20" documentId="8_{A65A784B-5C64-40C3-ADDD-A7397C83C3EC}" xr6:coauthVersionLast="47" xr6:coauthVersionMax="47" xr10:uidLastSave="{82FA35BE-70BF-4FD5-97A5-5C1768088190}"/>
  <bookViews>
    <workbookView xWindow="-28920" yWindow="-120" windowWidth="29040" windowHeight="15840" xr2:uid="{B509914F-613A-4276-B81B-B66117EFC9D0}"/>
  </bookViews>
  <sheets>
    <sheet name="Data" sheetId="1" r:id="rId1"/>
    <sheet name="Compound vs Simple 120 V" sheetId="3" r:id="rId2"/>
    <sheet name="Compound vs Simple 90 V" sheetId="4" r:id="rId3"/>
    <sheet name="Weir dims" sheetId="2" r:id="rId4"/>
  </sheets>
  <definedNames>
    <definedName name="_xlnm._FilterDatabase" localSheetId="0" hidden="1">Data!$A$1:$M$1441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" l="1"/>
  <c r="D3" i="1"/>
  <c r="E3" i="1"/>
  <c r="F3" i="1"/>
  <c r="I3" i="1" s="1"/>
  <c r="G3" i="1"/>
  <c r="H3" i="1"/>
  <c r="J3" i="1" s="1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B3" i="4"/>
  <c r="C3" i="4" s="1"/>
  <c r="A3" i="4"/>
  <c r="A4" i="4" s="1"/>
  <c r="B2" i="4"/>
  <c r="C2" i="4" s="1"/>
  <c r="A43" i="3"/>
  <c r="B43" i="3" s="1"/>
  <c r="C43" i="3" s="1"/>
  <c r="M2" i="3"/>
  <c r="B3" i="3"/>
  <c r="C3" i="3"/>
  <c r="D3" i="3"/>
  <c r="M3" i="3"/>
  <c r="O3" i="3" s="1"/>
  <c r="B4" i="3"/>
  <c r="C4" i="3"/>
  <c r="D4" i="3"/>
  <c r="B5" i="3"/>
  <c r="C5" i="3"/>
  <c r="D5" i="3" s="1"/>
  <c r="B6" i="3"/>
  <c r="C6" i="3" s="1"/>
  <c r="B7" i="3"/>
  <c r="C7" i="3" s="1"/>
  <c r="B8" i="3"/>
  <c r="C8" i="3" s="1"/>
  <c r="B9" i="3"/>
  <c r="C9" i="3"/>
  <c r="D9" i="3"/>
  <c r="M9" i="3"/>
  <c r="N9" i="3" s="1"/>
  <c r="B10" i="3"/>
  <c r="C10" i="3"/>
  <c r="D10" i="3"/>
  <c r="M10" i="3" s="1"/>
  <c r="B11" i="3"/>
  <c r="C11" i="3"/>
  <c r="D11" i="3"/>
  <c r="B12" i="3"/>
  <c r="C12" i="3"/>
  <c r="B13" i="3"/>
  <c r="C13" i="3" s="1"/>
  <c r="B14" i="3"/>
  <c r="C14" i="3"/>
  <c r="D14" i="3" s="1"/>
  <c r="B15" i="3"/>
  <c r="C15" i="3" s="1"/>
  <c r="B16" i="3"/>
  <c r="C16" i="3"/>
  <c r="D16" i="3"/>
  <c r="B17" i="3"/>
  <c r="C17" i="3"/>
  <c r="D17" i="3"/>
  <c r="M17" i="3"/>
  <c r="N17" i="3" s="1"/>
  <c r="B18" i="3"/>
  <c r="C18" i="3"/>
  <c r="D18" i="3" s="1"/>
  <c r="B19" i="3"/>
  <c r="C19" i="3" s="1"/>
  <c r="B20" i="3"/>
  <c r="C20" i="3" s="1"/>
  <c r="B21" i="3"/>
  <c r="C21" i="3"/>
  <c r="D21" i="3"/>
  <c r="M21" i="3"/>
  <c r="N21" i="3" s="1"/>
  <c r="B22" i="3"/>
  <c r="C22" i="3"/>
  <c r="D22" i="3"/>
  <c r="M22" i="3" s="1"/>
  <c r="B23" i="3"/>
  <c r="C23" i="3"/>
  <c r="D23" i="3"/>
  <c r="B24" i="3"/>
  <c r="C24" i="3"/>
  <c r="B25" i="3"/>
  <c r="C25" i="3" s="1"/>
  <c r="B26" i="3"/>
  <c r="C26" i="3"/>
  <c r="D26" i="3" s="1"/>
  <c r="B27" i="3"/>
  <c r="C27" i="3" s="1"/>
  <c r="B28" i="3"/>
  <c r="C28" i="3"/>
  <c r="D28" i="3"/>
  <c r="B29" i="3"/>
  <c r="C29" i="3"/>
  <c r="D29" i="3"/>
  <c r="M29" i="3"/>
  <c r="N29" i="3" s="1"/>
  <c r="B30" i="3"/>
  <c r="C30" i="3"/>
  <c r="D30" i="3" s="1"/>
  <c r="B31" i="3"/>
  <c r="C31" i="3" s="1"/>
  <c r="B32" i="3"/>
  <c r="C32" i="3" s="1"/>
  <c r="B33" i="3"/>
  <c r="C33" i="3"/>
  <c r="D33" i="3"/>
  <c r="M33" i="3"/>
  <c r="N33" i="3" s="1"/>
  <c r="B34" i="3"/>
  <c r="C34" i="3"/>
  <c r="D34" i="3"/>
  <c r="M34" i="3" s="1"/>
  <c r="B35" i="3"/>
  <c r="C35" i="3"/>
  <c r="D35" i="3"/>
  <c r="B36" i="3"/>
  <c r="C36" i="3"/>
  <c r="B37" i="3"/>
  <c r="C37" i="3" s="1"/>
  <c r="B38" i="3"/>
  <c r="C38" i="3"/>
  <c r="D38" i="3" s="1"/>
  <c r="B39" i="3"/>
  <c r="C39" i="3" s="1"/>
  <c r="B40" i="3"/>
  <c r="C40" i="3"/>
  <c r="D40" i="3"/>
  <c r="B41" i="3"/>
  <c r="C41" i="3"/>
  <c r="D41" i="3"/>
  <c r="M41" i="3"/>
  <c r="N41" i="3" s="1"/>
  <c r="B42" i="3"/>
  <c r="C42" i="3"/>
  <c r="D42" i="3" s="1"/>
  <c r="A37" i="3"/>
  <c r="A38" i="3"/>
  <c r="A39" i="3" s="1"/>
  <c r="A40" i="3" s="1"/>
  <c r="A41" i="3" s="1"/>
  <c r="A42" i="3" s="1"/>
  <c r="A26" i="3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4" i="3"/>
  <c r="A5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3" i="3"/>
  <c r="B2" i="3"/>
  <c r="C2" i="3" s="1"/>
  <c r="K3" i="1" l="1"/>
  <c r="D3" i="4"/>
  <c r="E2" i="4"/>
  <c r="F2" i="4" s="1"/>
  <c r="G2" i="4" s="1"/>
  <c r="D2" i="4"/>
  <c r="A5" i="4"/>
  <c r="B4" i="4"/>
  <c r="C4" i="4" s="1"/>
  <c r="D43" i="3"/>
  <c r="A44" i="3"/>
  <c r="D31" i="3"/>
  <c r="M26" i="3"/>
  <c r="N34" i="3"/>
  <c r="O34" i="3"/>
  <c r="D25" i="3"/>
  <c r="D7" i="3"/>
  <c r="M30" i="3"/>
  <c r="D8" i="3"/>
  <c r="D6" i="3"/>
  <c r="E6" i="3"/>
  <c r="F6" i="3" s="1"/>
  <c r="G6" i="3" s="1"/>
  <c r="N10" i="3"/>
  <c r="O10" i="3"/>
  <c r="M38" i="3"/>
  <c r="M42" i="3"/>
  <c r="D20" i="3"/>
  <c r="D15" i="3"/>
  <c r="D39" i="3"/>
  <c r="M5" i="3"/>
  <c r="D37" i="3"/>
  <c r="D19" i="3"/>
  <c r="M14" i="3"/>
  <c r="M18" i="3"/>
  <c r="N22" i="3"/>
  <c r="O22" i="3"/>
  <c r="D13" i="3"/>
  <c r="D32" i="3"/>
  <c r="D27" i="3"/>
  <c r="E27" i="3"/>
  <c r="F27" i="3" s="1"/>
  <c r="G27" i="3" s="1"/>
  <c r="M40" i="3"/>
  <c r="D36" i="3"/>
  <c r="M28" i="3"/>
  <c r="D24" i="3"/>
  <c r="M16" i="3"/>
  <c r="D12" i="3"/>
  <c r="M4" i="3"/>
  <c r="N3" i="3"/>
  <c r="M35" i="3"/>
  <c r="O33" i="3"/>
  <c r="M23" i="3"/>
  <c r="O21" i="3"/>
  <c r="E18" i="3"/>
  <c r="F18" i="3" s="1"/>
  <c r="G18" i="3" s="1"/>
  <c r="M11" i="3"/>
  <c r="O9" i="3"/>
  <c r="O41" i="3"/>
  <c r="E38" i="3"/>
  <c r="F38" i="3" s="1"/>
  <c r="G38" i="3" s="1"/>
  <c r="O29" i="3"/>
  <c r="E26" i="3"/>
  <c r="F26" i="3" s="1"/>
  <c r="G26" i="3" s="1"/>
  <c r="O17" i="3"/>
  <c r="D2" i="3"/>
  <c r="C4" i="2"/>
  <c r="D4" i="2" s="1"/>
  <c r="C5" i="2"/>
  <c r="D5" i="2" s="1"/>
  <c r="C6" i="2"/>
  <c r="D6" i="2" s="1"/>
  <c r="C7" i="2"/>
  <c r="D7" i="2" s="1"/>
  <c r="E20" i="3" s="1"/>
  <c r="F20" i="3" s="1"/>
  <c r="G20" i="3" s="1"/>
  <c r="C8" i="2"/>
  <c r="D8" i="2" s="1"/>
  <c r="D2" i="1"/>
  <c r="E2" i="1" s="1"/>
  <c r="G2" i="1" s="1"/>
  <c r="H2" i="1" s="1"/>
  <c r="M3" i="1" l="1"/>
  <c r="E43" i="3"/>
  <c r="F43" i="3" s="1"/>
  <c r="G43" i="3" s="1"/>
  <c r="E10" i="3"/>
  <c r="F10" i="3" s="1"/>
  <c r="G10" i="3" s="1"/>
  <c r="E3" i="3"/>
  <c r="F3" i="3" s="1"/>
  <c r="G3" i="3" s="1"/>
  <c r="E34" i="3"/>
  <c r="F34" i="3" s="1"/>
  <c r="G34" i="3" s="1"/>
  <c r="E28" i="3"/>
  <c r="F28" i="3" s="1"/>
  <c r="G28" i="3" s="1"/>
  <c r="E21" i="3"/>
  <c r="F21" i="3" s="1"/>
  <c r="G21" i="3" s="1"/>
  <c r="E22" i="3"/>
  <c r="F22" i="3" s="1"/>
  <c r="G22" i="3" s="1"/>
  <c r="E16" i="3"/>
  <c r="F16" i="3" s="1"/>
  <c r="G16" i="3" s="1"/>
  <c r="E9" i="3"/>
  <c r="F9" i="3" s="1"/>
  <c r="G9" i="3" s="1"/>
  <c r="E40" i="3"/>
  <c r="F40" i="3" s="1"/>
  <c r="G40" i="3" s="1"/>
  <c r="E33" i="3"/>
  <c r="F33" i="3" s="1"/>
  <c r="G33" i="3" s="1"/>
  <c r="E41" i="3"/>
  <c r="F41" i="3" s="1"/>
  <c r="G41" i="3" s="1"/>
  <c r="E31" i="3"/>
  <c r="F31" i="3" s="1"/>
  <c r="G31" i="3" s="1"/>
  <c r="E15" i="3"/>
  <c r="F15" i="3" s="1"/>
  <c r="G15" i="3" s="1"/>
  <c r="E24" i="3"/>
  <c r="F24" i="3" s="1"/>
  <c r="G24" i="3" s="1"/>
  <c r="E14" i="3"/>
  <c r="F14" i="3" s="1"/>
  <c r="G14" i="3" s="1"/>
  <c r="E17" i="3"/>
  <c r="F17" i="3" s="1"/>
  <c r="G17" i="3" s="1"/>
  <c r="E39" i="3"/>
  <c r="F39" i="3" s="1"/>
  <c r="G39" i="3" s="1"/>
  <c r="E23" i="3"/>
  <c r="F23" i="3" s="1"/>
  <c r="G23" i="3" s="1"/>
  <c r="E2" i="3"/>
  <c r="F2" i="3" s="1"/>
  <c r="G2" i="3" s="1"/>
  <c r="E36" i="3"/>
  <c r="F36" i="3" s="1"/>
  <c r="G36" i="3" s="1"/>
  <c r="E29" i="3"/>
  <c r="F29" i="3" s="1"/>
  <c r="G29" i="3" s="1"/>
  <c r="E25" i="3"/>
  <c r="F25" i="3" s="1"/>
  <c r="G25" i="3" s="1"/>
  <c r="E37" i="3"/>
  <c r="F37" i="3" s="1"/>
  <c r="G37" i="3" s="1"/>
  <c r="E12" i="3"/>
  <c r="F12" i="3" s="1"/>
  <c r="G12" i="3" s="1"/>
  <c r="E42" i="3"/>
  <c r="F42" i="3" s="1"/>
  <c r="G42" i="3" s="1"/>
  <c r="E35" i="3"/>
  <c r="F35" i="3" s="1"/>
  <c r="G35" i="3" s="1"/>
  <c r="E7" i="3"/>
  <c r="F7" i="3" s="1"/>
  <c r="G7" i="3" s="1"/>
  <c r="E19" i="3"/>
  <c r="F19" i="3" s="1"/>
  <c r="G19" i="3" s="1"/>
  <c r="E11" i="3"/>
  <c r="F11" i="3" s="1"/>
  <c r="G11" i="3" s="1"/>
  <c r="E4" i="3"/>
  <c r="F4" i="3" s="1"/>
  <c r="G4" i="3" s="1"/>
  <c r="E30" i="3"/>
  <c r="F30" i="3" s="1"/>
  <c r="G30" i="3" s="1"/>
  <c r="E3" i="4"/>
  <c r="F3" i="4" s="1"/>
  <c r="G3" i="4" s="1"/>
  <c r="E8" i="3"/>
  <c r="F8" i="3" s="1"/>
  <c r="G8" i="3" s="1"/>
  <c r="E13" i="3"/>
  <c r="F13" i="3" s="1"/>
  <c r="G13" i="3" s="1"/>
  <c r="E32" i="3"/>
  <c r="F32" i="3" s="1"/>
  <c r="G32" i="3" s="1"/>
  <c r="E5" i="3"/>
  <c r="F5" i="3" s="1"/>
  <c r="G5" i="3" s="1"/>
  <c r="Q11" i="3"/>
  <c r="Q31" i="3"/>
  <c r="Q2" i="3"/>
  <c r="H42" i="3"/>
  <c r="Q32" i="3"/>
  <c r="H3" i="3"/>
  <c r="H43" i="3"/>
  <c r="Q12" i="3"/>
  <c r="Q48" i="3"/>
  <c r="Q13" i="3"/>
  <c r="Q33" i="3"/>
  <c r="H4" i="3"/>
  <c r="I4" i="3" s="1"/>
  <c r="K4" i="3" s="1"/>
  <c r="H24" i="3"/>
  <c r="Q14" i="3"/>
  <c r="Q34" i="3"/>
  <c r="H5" i="3"/>
  <c r="I5" i="3" s="1"/>
  <c r="H25" i="3"/>
  <c r="H10" i="3"/>
  <c r="I10" i="3" s="1"/>
  <c r="K10" i="3" s="1"/>
  <c r="H19" i="3"/>
  <c r="Q15" i="3"/>
  <c r="Q35" i="3"/>
  <c r="H6" i="3"/>
  <c r="H26" i="3"/>
  <c r="H9" i="3"/>
  <c r="Q39" i="3"/>
  <c r="Q16" i="3"/>
  <c r="Q36" i="3"/>
  <c r="H7" i="3"/>
  <c r="I7" i="3" s="1"/>
  <c r="H27" i="3"/>
  <c r="Q38" i="3"/>
  <c r="Q8" i="3"/>
  <c r="Q17" i="3"/>
  <c r="Q37" i="3"/>
  <c r="H28" i="3"/>
  <c r="I28" i="3" s="1"/>
  <c r="Q18" i="3"/>
  <c r="Q28" i="3"/>
  <c r="Q19" i="3"/>
  <c r="Q10" i="3"/>
  <c r="Q50" i="3"/>
  <c r="Q20" i="3"/>
  <c r="Q40" i="3"/>
  <c r="H11" i="3"/>
  <c r="I11" i="3" s="1"/>
  <c r="K11" i="3" s="1"/>
  <c r="Q49" i="3"/>
  <c r="Q21" i="3"/>
  <c r="Q41" i="3"/>
  <c r="H12" i="3"/>
  <c r="H32" i="3"/>
  <c r="I32" i="3" s="1"/>
  <c r="Q22" i="3"/>
  <c r="Q42" i="3"/>
  <c r="H13" i="3"/>
  <c r="H33" i="3"/>
  <c r="I33" i="3" s="1"/>
  <c r="Q3" i="3"/>
  <c r="Q23" i="3"/>
  <c r="Q43" i="3"/>
  <c r="H14" i="3"/>
  <c r="H34" i="3"/>
  <c r="I34" i="3" s="1"/>
  <c r="Q4" i="3"/>
  <c r="Q24" i="3"/>
  <c r="Q44" i="3"/>
  <c r="H15" i="3"/>
  <c r="Q5" i="3"/>
  <c r="Q25" i="3"/>
  <c r="Q45" i="3"/>
  <c r="H16" i="3"/>
  <c r="I16" i="3" s="1"/>
  <c r="K16" i="3" s="1"/>
  <c r="H36" i="3"/>
  <c r="Q6" i="3"/>
  <c r="Q26" i="3"/>
  <c r="Q46" i="3"/>
  <c r="H17" i="3"/>
  <c r="I17" i="3" s="1"/>
  <c r="J17" i="3" s="1"/>
  <c r="H37" i="3"/>
  <c r="Q27" i="3"/>
  <c r="Q47" i="3"/>
  <c r="H38" i="3"/>
  <c r="I38" i="3" s="1"/>
  <c r="Q9" i="3"/>
  <c r="H18" i="3"/>
  <c r="I18" i="3" s="1"/>
  <c r="Q29" i="3"/>
  <c r="H40" i="3"/>
  <c r="I40" i="3" s="1"/>
  <c r="H20" i="3"/>
  <c r="I20" i="3" s="1"/>
  <c r="Q7" i="3"/>
  <c r="Q30" i="3"/>
  <c r="H21" i="3"/>
  <c r="I21" i="3" s="1"/>
  <c r="J2" i="1"/>
  <c r="I9" i="3"/>
  <c r="J9" i="3" s="1"/>
  <c r="I13" i="3"/>
  <c r="I26" i="3"/>
  <c r="I3" i="3"/>
  <c r="J3" i="3" s="1"/>
  <c r="I6" i="3"/>
  <c r="H2" i="4"/>
  <c r="I2" i="4" s="1"/>
  <c r="E4" i="4"/>
  <c r="F4" i="4" s="1"/>
  <c r="D4" i="4"/>
  <c r="B5" i="4"/>
  <c r="C5" i="4" s="1"/>
  <c r="A6" i="4"/>
  <c r="Q2" i="4"/>
  <c r="Q3" i="4"/>
  <c r="B44" i="3"/>
  <c r="C44" i="3" s="1"/>
  <c r="A45" i="3"/>
  <c r="M43" i="3"/>
  <c r="M32" i="3"/>
  <c r="N18" i="3"/>
  <c r="O18" i="3"/>
  <c r="M37" i="3"/>
  <c r="N4" i="3"/>
  <c r="O4" i="3"/>
  <c r="N5" i="3"/>
  <c r="O5" i="3"/>
  <c r="N42" i="3"/>
  <c r="O42" i="3"/>
  <c r="M8" i="3"/>
  <c r="M12" i="3"/>
  <c r="N16" i="3"/>
  <c r="O16" i="3"/>
  <c r="M39" i="3"/>
  <c r="N38" i="3"/>
  <c r="O38" i="3"/>
  <c r="N30" i="3"/>
  <c r="O30" i="3"/>
  <c r="N11" i="3"/>
  <c r="O11" i="3"/>
  <c r="M24" i="3"/>
  <c r="N28" i="3"/>
  <c r="O28" i="3"/>
  <c r="M13" i="3"/>
  <c r="N14" i="3"/>
  <c r="O14" i="3"/>
  <c r="M36" i="3"/>
  <c r="M15" i="3"/>
  <c r="N26" i="3"/>
  <c r="O26" i="3"/>
  <c r="N23" i="3"/>
  <c r="O23" i="3"/>
  <c r="N40" i="3"/>
  <c r="O40" i="3"/>
  <c r="M7" i="3"/>
  <c r="I27" i="3"/>
  <c r="M19" i="3"/>
  <c r="M20" i="3"/>
  <c r="M6" i="3"/>
  <c r="M27" i="3"/>
  <c r="M31" i="3"/>
  <c r="N35" i="3"/>
  <c r="O35" i="3"/>
  <c r="I37" i="3"/>
  <c r="M25" i="3"/>
  <c r="F2" i="1"/>
  <c r="I2" i="1" s="1"/>
  <c r="H30" i="3" l="1"/>
  <c r="I30" i="3" s="1"/>
  <c r="H2" i="3"/>
  <c r="H39" i="3"/>
  <c r="I39" i="3" s="1"/>
  <c r="J39" i="3" s="1"/>
  <c r="H35" i="3"/>
  <c r="I35" i="3" s="1"/>
  <c r="J35" i="3" s="1"/>
  <c r="H31" i="3"/>
  <c r="H41" i="3"/>
  <c r="I41" i="3" s="1"/>
  <c r="J41" i="3" s="1"/>
  <c r="H4" i="4"/>
  <c r="G4" i="4"/>
  <c r="H23" i="3"/>
  <c r="I23" i="3" s="1"/>
  <c r="J23" i="3" s="1"/>
  <c r="H3" i="4"/>
  <c r="I3" i="4" s="1"/>
  <c r="K3" i="4" s="1"/>
  <c r="H8" i="3"/>
  <c r="I8" i="3" s="1"/>
  <c r="J8" i="3" s="1"/>
  <c r="H29" i="3"/>
  <c r="I29" i="3" s="1"/>
  <c r="K29" i="3" s="1"/>
  <c r="H22" i="3"/>
  <c r="I22" i="3" s="1"/>
  <c r="J22" i="3" s="1"/>
  <c r="K2" i="1"/>
  <c r="K17" i="3"/>
  <c r="J10" i="3"/>
  <c r="K22" i="3"/>
  <c r="J16" i="3"/>
  <c r="I2" i="3"/>
  <c r="J2" i="3" s="1"/>
  <c r="K9" i="3"/>
  <c r="J4" i="3"/>
  <c r="I36" i="3"/>
  <c r="J36" i="3" s="1"/>
  <c r="I31" i="3"/>
  <c r="J31" i="3" s="1"/>
  <c r="K3" i="3"/>
  <c r="I19" i="3"/>
  <c r="J19" i="3" s="1"/>
  <c r="K40" i="3"/>
  <c r="J40" i="3"/>
  <c r="K28" i="3"/>
  <c r="J28" i="3"/>
  <c r="R4" i="3"/>
  <c r="S4" i="3"/>
  <c r="I14" i="3"/>
  <c r="K14" i="3" s="1"/>
  <c r="J11" i="3"/>
  <c r="I42" i="3"/>
  <c r="K42" i="3" s="1"/>
  <c r="R36" i="3"/>
  <c r="S36" i="3"/>
  <c r="R23" i="3"/>
  <c r="S23" i="3"/>
  <c r="R16" i="3"/>
  <c r="S16" i="3"/>
  <c r="R31" i="3"/>
  <c r="S31" i="3"/>
  <c r="S26" i="3"/>
  <c r="R26" i="3"/>
  <c r="R9" i="3"/>
  <c r="S9" i="3"/>
  <c r="R19" i="3"/>
  <c r="S19" i="3"/>
  <c r="R41" i="3"/>
  <c r="S41" i="3"/>
  <c r="S14" i="3"/>
  <c r="R14" i="3"/>
  <c r="R7" i="3"/>
  <c r="S7" i="3"/>
  <c r="R29" i="3"/>
  <c r="S29" i="3"/>
  <c r="I24" i="3"/>
  <c r="J24" i="3" s="1"/>
  <c r="S2" i="3"/>
  <c r="R2" i="3"/>
  <c r="R17" i="3"/>
  <c r="S17" i="3"/>
  <c r="R39" i="3"/>
  <c r="S39" i="3"/>
  <c r="S34" i="3"/>
  <c r="R34" i="3"/>
  <c r="R5" i="3"/>
  <c r="S5" i="3"/>
  <c r="R27" i="3"/>
  <c r="S27" i="3"/>
  <c r="R11" i="3"/>
  <c r="S11" i="3"/>
  <c r="R37" i="3"/>
  <c r="S37" i="3"/>
  <c r="S22" i="3"/>
  <c r="R22" i="3"/>
  <c r="R15" i="3"/>
  <c r="S15" i="3"/>
  <c r="R33" i="3"/>
  <c r="S33" i="3"/>
  <c r="R21" i="3"/>
  <c r="S21" i="3"/>
  <c r="I25" i="3"/>
  <c r="J25" i="3" s="1"/>
  <c r="I43" i="3"/>
  <c r="J43" i="3" s="1"/>
  <c r="R13" i="3"/>
  <c r="S13" i="3"/>
  <c r="S10" i="3"/>
  <c r="R10" i="3"/>
  <c r="R32" i="3"/>
  <c r="S32" i="3"/>
  <c r="S42" i="3"/>
  <c r="R42" i="3"/>
  <c r="R3" i="3"/>
  <c r="S3" i="3"/>
  <c r="I12" i="3"/>
  <c r="J12" i="3" s="1"/>
  <c r="R25" i="3"/>
  <c r="S25" i="3"/>
  <c r="R20" i="3"/>
  <c r="S20" i="3"/>
  <c r="S30" i="3"/>
  <c r="R30" i="3"/>
  <c r="J33" i="3"/>
  <c r="K33" i="3"/>
  <c r="R24" i="3"/>
  <c r="S24" i="3"/>
  <c r="R12" i="3"/>
  <c r="S12" i="3"/>
  <c r="R8" i="3"/>
  <c r="S8" i="3"/>
  <c r="S18" i="3"/>
  <c r="R18" i="3"/>
  <c r="R40" i="3"/>
  <c r="S40" i="3"/>
  <c r="J21" i="3"/>
  <c r="K21" i="3"/>
  <c r="S38" i="3"/>
  <c r="R38" i="3"/>
  <c r="I15" i="3"/>
  <c r="J15" i="3" s="1"/>
  <c r="R35" i="3"/>
  <c r="S35" i="3"/>
  <c r="S6" i="3"/>
  <c r="R6" i="3"/>
  <c r="R28" i="3"/>
  <c r="S28" i="3"/>
  <c r="K2" i="4"/>
  <c r="J2" i="4"/>
  <c r="S3" i="4"/>
  <c r="R3" i="4"/>
  <c r="O3" i="4"/>
  <c r="N3" i="4"/>
  <c r="O2" i="4"/>
  <c r="N2" i="4"/>
  <c r="S2" i="4"/>
  <c r="R2" i="4"/>
  <c r="A7" i="4"/>
  <c r="B6" i="4"/>
  <c r="C6" i="4" s="1"/>
  <c r="D5" i="4"/>
  <c r="E5" i="4"/>
  <c r="F5" i="4" s="1"/>
  <c r="I4" i="4"/>
  <c r="Q4" i="4"/>
  <c r="N43" i="3"/>
  <c r="O43" i="3"/>
  <c r="R43" i="3"/>
  <c r="S43" i="3"/>
  <c r="B45" i="3"/>
  <c r="C45" i="3" s="1"/>
  <c r="A46" i="3"/>
  <c r="D44" i="3"/>
  <c r="E44" i="3"/>
  <c r="F44" i="3" s="1"/>
  <c r="J18" i="3"/>
  <c r="K18" i="3"/>
  <c r="J26" i="3"/>
  <c r="K26" i="3"/>
  <c r="O15" i="3"/>
  <c r="N15" i="3"/>
  <c r="N12" i="3"/>
  <c r="O12" i="3"/>
  <c r="N31" i="3"/>
  <c r="O31" i="3"/>
  <c r="K6" i="3"/>
  <c r="J6" i="3"/>
  <c r="J5" i="3"/>
  <c r="K5" i="3"/>
  <c r="J20" i="3"/>
  <c r="K20" i="3"/>
  <c r="N36" i="3"/>
  <c r="O36" i="3"/>
  <c r="J34" i="3"/>
  <c r="K34" i="3"/>
  <c r="N6" i="3"/>
  <c r="O6" i="3"/>
  <c r="O39" i="3"/>
  <c r="N39" i="3"/>
  <c r="N32" i="3"/>
  <c r="O32" i="3"/>
  <c r="O25" i="3"/>
  <c r="N25" i="3"/>
  <c r="N20" i="3"/>
  <c r="O20" i="3"/>
  <c r="N8" i="3"/>
  <c r="O8" i="3"/>
  <c r="J37" i="3"/>
  <c r="K37" i="3"/>
  <c r="J13" i="3"/>
  <c r="K13" i="3"/>
  <c r="N19" i="3"/>
  <c r="O19" i="3"/>
  <c r="N24" i="3"/>
  <c r="O24" i="3"/>
  <c r="N7" i="3"/>
  <c r="O7" i="3"/>
  <c r="J32" i="3"/>
  <c r="K32" i="3"/>
  <c r="J27" i="3"/>
  <c r="K27" i="3"/>
  <c r="O27" i="3"/>
  <c r="N27" i="3"/>
  <c r="K30" i="3"/>
  <c r="J30" i="3"/>
  <c r="O13" i="3"/>
  <c r="N13" i="3"/>
  <c r="J38" i="3"/>
  <c r="K38" i="3"/>
  <c r="J7" i="3"/>
  <c r="K7" i="3"/>
  <c r="K39" i="3"/>
  <c r="O37" i="3"/>
  <c r="N37" i="3"/>
  <c r="O2" i="3"/>
  <c r="N2" i="3"/>
  <c r="J3" i="4" l="1"/>
  <c r="K41" i="3"/>
  <c r="H5" i="4"/>
  <c r="I5" i="4" s="1"/>
  <c r="G5" i="4"/>
  <c r="K35" i="3"/>
  <c r="K23" i="3"/>
  <c r="J29" i="3"/>
  <c r="K8" i="3"/>
  <c r="G44" i="3"/>
  <c r="H44" i="3"/>
  <c r="I44" i="3" s="1"/>
  <c r="K31" i="3"/>
  <c r="K36" i="3"/>
  <c r="K43" i="3"/>
  <c r="K19" i="3"/>
  <c r="K2" i="3"/>
  <c r="J14" i="3"/>
  <c r="K12" i="3"/>
  <c r="K25" i="3"/>
  <c r="J42" i="3"/>
  <c r="K15" i="3"/>
  <c r="K24" i="3"/>
  <c r="M2" i="1"/>
  <c r="L2" i="1"/>
  <c r="K4" i="4"/>
  <c r="J4" i="4"/>
  <c r="O4" i="4"/>
  <c r="N4" i="4"/>
  <c r="S4" i="4"/>
  <c r="R4" i="4"/>
  <c r="Q5" i="4"/>
  <c r="E6" i="4"/>
  <c r="F6" i="4" s="1"/>
  <c r="D6" i="4"/>
  <c r="A8" i="4"/>
  <c r="B7" i="4"/>
  <c r="C7" i="4" s="1"/>
  <c r="M44" i="3"/>
  <c r="B46" i="3"/>
  <c r="C46" i="3" s="1"/>
  <c r="A47" i="3"/>
  <c r="D45" i="3"/>
  <c r="E45" i="3"/>
  <c r="F45" i="3" s="1"/>
  <c r="G45" i="3" l="1"/>
  <c r="H45" i="3"/>
  <c r="H6" i="4"/>
  <c r="G6" i="4"/>
  <c r="K5" i="4"/>
  <c r="J5" i="4"/>
  <c r="Q6" i="4"/>
  <c r="I6" i="4"/>
  <c r="R5" i="4"/>
  <c r="S5" i="4"/>
  <c r="O5" i="4"/>
  <c r="N5" i="4"/>
  <c r="D7" i="4"/>
  <c r="E7" i="4"/>
  <c r="F7" i="4" s="1"/>
  <c r="A9" i="4"/>
  <c r="B8" i="4"/>
  <c r="C8" i="4" s="1"/>
  <c r="K44" i="3"/>
  <c r="J44" i="3"/>
  <c r="I45" i="3"/>
  <c r="M45" i="3"/>
  <c r="A48" i="3"/>
  <c r="B47" i="3"/>
  <c r="C47" i="3" s="1"/>
  <c r="D46" i="3"/>
  <c r="E46" i="3"/>
  <c r="F46" i="3" s="1"/>
  <c r="R44" i="3"/>
  <c r="S44" i="3"/>
  <c r="N44" i="3"/>
  <c r="O44" i="3"/>
  <c r="G46" i="3" l="1"/>
  <c r="H46" i="3"/>
  <c r="H7" i="4"/>
  <c r="G7" i="4"/>
  <c r="Q7" i="4"/>
  <c r="I7" i="4"/>
  <c r="S6" i="4"/>
  <c r="R6" i="4"/>
  <c r="K6" i="4"/>
  <c r="J6" i="4"/>
  <c r="O6" i="4"/>
  <c r="N6" i="4"/>
  <c r="E8" i="4"/>
  <c r="F8" i="4" s="1"/>
  <c r="D8" i="4"/>
  <c r="A10" i="4"/>
  <c r="B9" i="4"/>
  <c r="C9" i="4" s="1"/>
  <c r="J45" i="3"/>
  <c r="K45" i="3"/>
  <c r="M46" i="3"/>
  <c r="I46" i="3"/>
  <c r="B48" i="3"/>
  <c r="C48" i="3" s="1"/>
  <c r="A49" i="3"/>
  <c r="E47" i="3"/>
  <c r="F47" i="3" s="1"/>
  <c r="D47" i="3"/>
  <c r="N45" i="3"/>
  <c r="O45" i="3"/>
  <c r="R45" i="3"/>
  <c r="S45" i="3"/>
  <c r="H8" i="4" l="1"/>
  <c r="G8" i="4"/>
  <c r="G47" i="3"/>
  <c r="H47" i="3"/>
  <c r="K7" i="4"/>
  <c r="J7" i="4"/>
  <c r="R7" i="4"/>
  <c r="S7" i="4"/>
  <c r="A11" i="4"/>
  <c r="B10" i="4"/>
  <c r="C10" i="4" s="1"/>
  <c r="Q8" i="4"/>
  <c r="O7" i="4"/>
  <c r="N7" i="4"/>
  <c r="I8" i="4"/>
  <c r="E9" i="4"/>
  <c r="F9" i="4" s="1"/>
  <c r="D9" i="4"/>
  <c r="J46" i="3"/>
  <c r="K46" i="3"/>
  <c r="R46" i="3"/>
  <c r="S46" i="3"/>
  <c r="O46" i="3"/>
  <c r="N46" i="3"/>
  <c r="M47" i="3"/>
  <c r="B49" i="3"/>
  <c r="C49" i="3" s="1"/>
  <c r="A50" i="3"/>
  <c r="B50" i="3" s="1"/>
  <c r="C50" i="3" s="1"/>
  <c r="I47" i="3"/>
  <c r="D48" i="3"/>
  <c r="E48" i="3"/>
  <c r="F48" i="3" s="1"/>
  <c r="H9" i="4" l="1"/>
  <c r="G9" i="4"/>
  <c r="G48" i="3"/>
  <c r="H48" i="3"/>
  <c r="K8" i="4"/>
  <c r="J8" i="4"/>
  <c r="E10" i="4"/>
  <c r="F10" i="4" s="1"/>
  <c r="D10" i="4"/>
  <c r="N8" i="4"/>
  <c r="O8" i="4"/>
  <c r="S8" i="4"/>
  <c r="R8" i="4"/>
  <c r="A12" i="4"/>
  <c r="B11" i="4"/>
  <c r="C11" i="4" s="1"/>
  <c r="Q9" i="4"/>
  <c r="I9" i="4"/>
  <c r="M48" i="3"/>
  <c r="I48" i="3"/>
  <c r="S47" i="3"/>
  <c r="R47" i="3"/>
  <c r="N47" i="3"/>
  <c r="O47" i="3"/>
  <c r="J47" i="3"/>
  <c r="K47" i="3"/>
  <c r="D50" i="3"/>
  <c r="E50" i="3"/>
  <c r="F50" i="3" s="1"/>
  <c r="D49" i="3"/>
  <c r="E49" i="3"/>
  <c r="F49" i="3" s="1"/>
  <c r="G49" i="3" l="1"/>
  <c r="H49" i="3"/>
  <c r="H10" i="4"/>
  <c r="G10" i="4"/>
  <c r="G50" i="3"/>
  <c r="H50" i="3"/>
  <c r="K9" i="4"/>
  <c r="J9" i="4"/>
  <c r="Q10" i="4"/>
  <c r="I10" i="4"/>
  <c r="O9" i="4"/>
  <c r="N9" i="4"/>
  <c r="S9" i="4"/>
  <c r="R9" i="4"/>
  <c r="E11" i="4"/>
  <c r="F11" i="4" s="1"/>
  <c r="D11" i="4"/>
  <c r="B12" i="4"/>
  <c r="C12" i="4" s="1"/>
  <c r="A13" i="4"/>
  <c r="J48" i="3"/>
  <c r="K48" i="3"/>
  <c r="R48" i="3"/>
  <c r="S48" i="3"/>
  <c r="I49" i="3"/>
  <c r="M49" i="3"/>
  <c r="N48" i="3"/>
  <c r="O48" i="3"/>
  <c r="I50" i="3"/>
  <c r="M50" i="3"/>
  <c r="H11" i="4" l="1"/>
  <c r="G11" i="4"/>
  <c r="K10" i="4"/>
  <c r="J10" i="4"/>
  <c r="N10" i="4"/>
  <c r="O10" i="4"/>
  <c r="A14" i="4"/>
  <c r="B13" i="4"/>
  <c r="C13" i="4" s="1"/>
  <c r="E12" i="4"/>
  <c r="F12" i="4" s="1"/>
  <c r="D12" i="4"/>
  <c r="I11" i="4"/>
  <c r="Q11" i="4"/>
  <c r="S10" i="4"/>
  <c r="R10" i="4"/>
  <c r="J50" i="3"/>
  <c r="K50" i="3"/>
  <c r="J49" i="3"/>
  <c r="K49" i="3"/>
  <c r="O50" i="3"/>
  <c r="N50" i="3"/>
  <c r="N49" i="3"/>
  <c r="O49" i="3"/>
  <c r="R50" i="3"/>
  <c r="S50" i="3"/>
  <c r="R49" i="3"/>
  <c r="S49" i="3"/>
  <c r="H12" i="4" l="1"/>
  <c r="G12" i="4"/>
  <c r="K11" i="4"/>
  <c r="J11" i="4"/>
  <c r="S11" i="4"/>
  <c r="R11" i="4"/>
  <c r="E13" i="4"/>
  <c r="F13" i="4" s="1"/>
  <c r="D13" i="4"/>
  <c r="B14" i="4"/>
  <c r="C14" i="4" s="1"/>
  <c r="A15" i="4"/>
  <c r="O11" i="4"/>
  <c r="N11" i="4"/>
  <c r="Q12" i="4"/>
  <c r="I12" i="4"/>
  <c r="H13" i="4" l="1"/>
  <c r="G13" i="4"/>
  <c r="I13" i="4" s="1"/>
  <c r="K12" i="4"/>
  <c r="J12" i="4"/>
  <c r="O12" i="4"/>
  <c r="N12" i="4"/>
  <c r="E14" i="4"/>
  <c r="F14" i="4" s="1"/>
  <c r="D14" i="4"/>
  <c r="S12" i="4"/>
  <c r="R12" i="4"/>
  <c r="A16" i="4"/>
  <c r="B15" i="4"/>
  <c r="C15" i="4" s="1"/>
  <c r="Q13" i="4"/>
  <c r="H14" i="4" l="1"/>
  <c r="G14" i="4"/>
  <c r="I14" i="4" s="1"/>
  <c r="J13" i="4"/>
  <c r="K13" i="4"/>
  <c r="S13" i="4"/>
  <c r="R13" i="4"/>
  <c r="E15" i="4"/>
  <c r="F15" i="4" s="1"/>
  <c r="D15" i="4"/>
  <c r="A17" i="4"/>
  <c r="B16" i="4"/>
  <c r="C16" i="4" s="1"/>
  <c r="Q14" i="4"/>
  <c r="O13" i="4"/>
  <c r="N13" i="4"/>
  <c r="H15" i="4" l="1"/>
  <c r="G15" i="4"/>
  <c r="I15" i="4" s="1"/>
  <c r="K14" i="4"/>
  <c r="J14" i="4"/>
  <c r="B17" i="4"/>
  <c r="C17" i="4" s="1"/>
  <c r="A18" i="4"/>
  <c r="S14" i="4"/>
  <c r="R14" i="4"/>
  <c r="Q15" i="4"/>
  <c r="O14" i="4"/>
  <c r="N14" i="4"/>
  <c r="E16" i="4"/>
  <c r="F16" i="4" s="1"/>
  <c r="D16" i="4"/>
  <c r="H16" i="4" l="1"/>
  <c r="G16" i="4"/>
  <c r="I16" i="4" s="1"/>
  <c r="K15" i="4"/>
  <c r="J15" i="4"/>
  <c r="S15" i="4"/>
  <c r="R15" i="4"/>
  <c r="O15" i="4"/>
  <c r="N15" i="4"/>
  <c r="A19" i="4"/>
  <c r="B18" i="4"/>
  <c r="C18" i="4" s="1"/>
  <c r="D17" i="4"/>
  <c r="E17" i="4"/>
  <c r="F17" i="4" s="1"/>
  <c r="Q16" i="4"/>
  <c r="H17" i="4" l="1"/>
  <c r="G17" i="4"/>
  <c r="I17" i="4" s="1"/>
  <c r="K16" i="4"/>
  <c r="J16" i="4"/>
  <c r="Q17" i="4"/>
  <c r="O16" i="4"/>
  <c r="N16" i="4"/>
  <c r="E18" i="4"/>
  <c r="F18" i="4" s="1"/>
  <c r="D18" i="4"/>
  <c r="B19" i="4"/>
  <c r="C19" i="4" s="1"/>
  <c r="A20" i="4"/>
  <c r="S16" i="4"/>
  <c r="R16" i="4"/>
  <c r="H18" i="4" l="1"/>
  <c r="G18" i="4"/>
  <c r="I18" i="4" s="1"/>
  <c r="K17" i="4"/>
  <c r="J17" i="4"/>
  <c r="D19" i="4"/>
  <c r="E19" i="4"/>
  <c r="F19" i="4" s="1"/>
  <c r="S17" i="4"/>
  <c r="R17" i="4"/>
  <c r="A21" i="4"/>
  <c r="B20" i="4"/>
  <c r="C20" i="4" s="1"/>
  <c r="Q18" i="4"/>
  <c r="O17" i="4"/>
  <c r="N17" i="4"/>
  <c r="H19" i="4" l="1"/>
  <c r="G19" i="4"/>
  <c r="I19" i="4" s="1"/>
  <c r="K18" i="4"/>
  <c r="J18" i="4"/>
  <c r="O18" i="4"/>
  <c r="N18" i="4"/>
  <c r="S18" i="4"/>
  <c r="R18" i="4"/>
  <c r="A22" i="4"/>
  <c r="B21" i="4"/>
  <c r="C21" i="4" s="1"/>
  <c r="E20" i="4"/>
  <c r="F20" i="4" s="1"/>
  <c r="D20" i="4"/>
  <c r="Q19" i="4"/>
  <c r="H20" i="4" l="1"/>
  <c r="G20" i="4"/>
  <c r="I20" i="4" s="1"/>
  <c r="K19" i="4"/>
  <c r="J19" i="4"/>
  <c r="E21" i="4"/>
  <c r="F21" i="4" s="1"/>
  <c r="D21" i="4"/>
  <c r="R19" i="4"/>
  <c r="S19" i="4"/>
  <c r="Q20" i="4"/>
  <c r="A23" i="4"/>
  <c r="B22" i="4"/>
  <c r="C22" i="4" s="1"/>
  <c r="O19" i="4"/>
  <c r="N19" i="4"/>
  <c r="H21" i="4" l="1"/>
  <c r="G21" i="4"/>
  <c r="I21" i="4" s="1"/>
  <c r="K20" i="4"/>
  <c r="J20" i="4"/>
  <c r="N20" i="4"/>
  <c r="O20" i="4"/>
  <c r="A24" i="4"/>
  <c r="B23" i="4"/>
  <c r="C23" i="4" s="1"/>
  <c r="S20" i="4"/>
  <c r="R20" i="4"/>
  <c r="E22" i="4"/>
  <c r="F22" i="4" s="1"/>
  <c r="D22" i="4"/>
  <c r="Q21" i="4"/>
  <c r="H22" i="4" l="1"/>
  <c r="G22" i="4"/>
  <c r="I22" i="4" s="1"/>
  <c r="Q22" i="4"/>
  <c r="E23" i="4"/>
  <c r="F23" i="4" s="1"/>
  <c r="D23" i="4"/>
  <c r="S21" i="4"/>
  <c r="R21" i="4"/>
  <c r="K21" i="4"/>
  <c r="J21" i="4"/>
  <c r="B24" i="4"/>
  <c r="C24" i="4" s="1"/>
  <c r="A25" i="4"/>
  <c r="O21" i="4"/>
  <c r="N21" i="4"/>
  <c r="H23" i="4" l="1"/>
  <c r="G23" i="4"/>
  <c r="I23" i="4" s="1"/>
  <c r="K22" i="4"/>
  <c r="J22" i="4"/>
  <c r="A26" i="4"/>
  <c r="B25" i="4"/>
  <c r="C25" i="4" s="1"/>
  <c r="E24" i="4"/>
  <c r="F24" i="4" s="1"/>
  <c r="D24" i="4"/>
  <c r="Q23" i="4"/>
  <c r="N22" i="4"/>
  <c r="O22" i="4"/>
  <c r="S22" i="4"/>
  <c r="R22" i="4"/>
  <c r="H24" i="4" l="1"/>
  <c r="G24" i="4"/>
  <c r="I24" i="4" s="1"/>
  <c r="O23" i="4"/>
  <c r="N23" i="4"/>
  <c r="J23" i="4"/>
  <c r="K23" i="4"/>
  <c r="S23" i="4"/>
  <c r="R23" i="4"/>
  <c r="Q24" i="4"/>
  <c r="E25" i="4"/>
  <c r="F25" i="4" s="1"/>
  <c r="D25" i="4"/>
  <c r="B26" i="4"/>
  <c r="C26" i="4" s="1"/>
  <c r="A27" i="4"/>
  <c r="H25" i="4" l="1"/>
  <c r="G25" i="4"/>
  <c r="I25" i="4" s="1"/>
  <c r="K24" i="4"/>
  <c r="J24" i="4"/>
  <c r="O24" i="4"/>
  <c r="N24" i="4"/>
  <c r="Q25" i="4"/>
  <c r="S24" i="4"/>
  <c r="R24" i="4"/>
  <c r="B27" i="4"/>
  <c r="C27" i="4" s="1"/>
  <c r="A28" i="4"/>
  <c r="E26" i="4"/>
  <c r="F26" i="4" s="1"/>
  <c r="D26" i="4"/>
  <c r="H26" i="4" l="1"/>
  <c r="G26" i="4"/>
  <c r="I26" i="4" s="1"/>
  <c r="J25" i="4"/>
  <c r="K25" i="4"/>
  <c r="S25" i="4"/>
  <c r="R25" i="4"/>
  <c r="O25" i="4"/>
  <c r="N25" i="4"/>
  <c r="A29" i="4"/>
  <c r="B28" i="4"/>
  <c r="C28" i="4" s="1"/>
  <c r="Q26" i="4"/>
  <c r="E27" i="4"/>
  <c r="F27" i="4" s="1"/>
  <c r="D27" i="4"/>
  <c r="H27" i="4" l="1"/>
  <c r="G27" i="4"/>
  <c r="I27" i="4" s="1"/>
  <c r="K26" i="4"/>
  <c r="J26" i="4"/>
  <c r="E28" i="4"/>
  <c r="F28" i="4" s="1"/>
  <c r="D28" i="4"/>
  <c r="O26" i="4"/>
  <c r="N26" i="4"/>
  <c r="B29" i="4"/>
  <c r="C29" i="4" s="1"/>
  <c r="A30" i="4"/>
  <c r="S26" i="4"/>
  <c r="R26" i="4"/>
  <c r="Q27" i="4"/>
  <c r="H28" i="4" l="1"/>
  <c r="G28" i="4"/>
  <c r="I28" i="4" s="1"/>
  <c r="O27" i="4"/>
  <c r="N27" i="4"/>
  <c r="D29" i="4"/>
  <c r="E29" i="4"/>
  <c r="F29" i="4" s="1"/>
  <c r="Q28" i="4"/>
  <c r="K27" i="4"/>
  <c r="J27" i="4"/>
  <c r="A31" i="4"/>
  <c r="B30" i="4"/>
  <c r="C30" i="4" s="1"/>
  <c r="S27" i="4"/>
  <c r="R27" i="4"/>
  <c r="H29" i="4" l="1"/>
  <c r="G29" i="4"/>
  <c r="I29" i="4" s="1"/>
  <c r="K28" i="4"/>
  <c r="J28" i="4"/>
  <c r="O28" i="4"/>
  <c r="N28" i="4"/>
  <c r="S28" i="4"/>
  <c r="R28" i="4"/>
  <c r="E30" i="4"/>
  <c r="F30" i="4" s="1"/>
  <c r="D30" i="4"/>
  <c r="B31" i="4"/>
  <c r="C31" i="4" s="1"/>
  <c r="A32" i="4"/>
  <c r="Q29" i="4"/>
  <c r="H30" i="4" l="1"/>
  <c r="G30" i="4"/>
  <c r="I30" i="4" s="1"/>
  <c r="A33" i="4"/>
  <c r="B32" i="4"/>
  <c r="C32" i="4" s="1"/>
  <c r="D31" i="4"/>
  <c r="E31" i="4"/>
  <c r="F31" i="4" s="1"/>
  <c r="R29" i="4"/>
  <c r="S29" i="4"/>
  <c r="O29" i="4"/>
  <c r="N29" i="4"/>
  <c r="K29" i="4"/>
  <c r="J29" i="4"/>
  <c r="Q30" i="4"/>
  <c r="H31" i="4" l="1"/>
  <c r="G31" i="4"/>
  <c r="I31" i="4" s="1"/>
  <c r="K30" i="4"/>
  <c r="J30" i="4"/>
  <c r="Q31" i="4"/>
  <c r="E32" i="4"/>
  <c r="F32" i="4" s="1"/>
  <c r="D32" i="4"/>
  <c r="O30" i="4"/>
  <c r="N30" i="4"/>
  <c r="S30" i="4"/>
  <c r="R30" i="4"/>
  <c r="A34" i="4"/>
  <c r="B33" i="4"/>
  <c r="C33" i="4" s="1"/>
  <c r="H32" i="4" l="1"/>
  <c r="G32" i="4"/>
  <c r="I32" i="4" s="1"/>
  <c r="K31" i="4"/>
  <c r="J31" i="4"/>
  <c r="Q32" i="4"/>
  <c r="O31" i="4"/>
  <c r="N31" i="4"/>
  <c r="E33" i="4"/>
  <c r="F33" i="4" s="1"/>
  <c r="D33" i="4"/>
  <c r="R31" i="4"/>
  <c r="S31" i="4"/>
  <c r="A35" i="4"/>
  <c r="B34" i="4"/>
  <c r="C34" i="4" s="1"/>
  <c r="H33" i="4" l="1"/>
  <c r="G33" i="4"/>
  <c r="I33" i="4" s="1"/>
  <c r="S32" i="4"/>
  <c r="R32" i="4"/>
  <c r="N32" i="4"/>
  <c r="O32" i="4"/>
  <c r="E34" i="4"/>
  <c r="F34" i="4" s="1"/>
  <c r="D34" i="4"/>
  <c r="K32" i="4"/>
  <c r="J32" i="4"/>
  <c r="Q33" i="4"/>
  <c r="A36" i="4"/>
  <c r="B35" i="4"/>
  <c r="C35" i="4" s="1"/>
  <c r="H34" i="4" l="1"/>
  <c r="G34" i="4"/>
  <c r="I34" i="4" s="1"/>
  <c r="K33" i="4"/>
  <c r="J33" i="4"/>
  <c r="O33" i="4"/>
  <c r="N33" i="4"/>
  <c r="S33" i="4"/>
  <c r="R33" i="4"/>
  <c r="Q34" i="4"/>
  <c r="E35" i="4"/>
  <c r="F35" i="4" s="1"/>
  <c r="D35" i="4"/>
  <c r="B36" i="4"/>
  <c r="C36" i="4" s="1"/>
  <c r="A37" i="4"/>
  <c r="H35" i="4" l="1"/>
  <c r="G35" i="4"/>
  <c r="I35" i="4" s="1"/>
  <c r="K34" i="4"/>
  <c r="J34" i="4"/>
  <c r="Q35" i="4"/>
  <c r="S34" i="4"/>
  <c r="R34" i="4"/>
  <c r="N34" i="4"/>
  <c r="O34" i="4"/>
  <c r="A38" i="4"/>
  <c r="B37" i="4"/>
  <c r="C37" i="4" s="1"/>
  <c r="E36" i="4"/>
  <c r="F36" i="4" s="1"/>
  <c r="D36" i="4"/>
  <c r="H36" i="4" l="1"/>
  <c r="G36" i="4"/>
  <c r="I36" i="4" s="1"/>
  <c r="J35" i="4"/>
  <c r="K35" i="4"/>
  <c r="E37" i="4"/>
  <c r="F37" i="4" s="1"/>
  <c r="D37" i="4"/>
  <c r="B38" i="4"/>
  <c r="C38" i="4" s="1"/>
  <c r="A39" i="4"/>
  <c r="S35" i="4"/>
  <c r="R35" i="4"/>
  <c r="Q36" i="4"/>
  <c r="O35" i="4"/>
  <c r="N35" i="4"/>
  <c r="H37" i="4" l="1"/>
  <c r="G37" i="4"/>
  <c r="I37" i="4" s="1"/>
  <c r="K36" i="4"/>
  <c r="J36" i="4"/>
  <c r="O36" i="4"/>
  <c r="N36" i="4"/>
  <c r="A40" i="4"/>
  <c r="B39" i="4"/>
  <c r="C39" i="4" s="1"/>
  <c r="S36" i="4"/>
  <c r="R36" i="4"/>
  <c r="E38" i="4"/>
  <c r="F38" i="4" s="1"/>
  <c r="D38" i="4"/>
  <c r="Q37" i="4"/>
  <c r="H38" i="4" l="1"/>
  <c r="G38" i="4"/>
  <c r="I38" i="4" s="1"/>
  <c r="O37" i="4"/>
  <c r="N37" i="4"/>
  <c r="E39" i="4"/>
  <c r="F39" i="4" s="1"/>
  <c r="D39" i="4"/>
  <c r="S37" i="4"/>
  <c r="R37" i="4"/>
  <c r="Q38" i="4"/>
  <c r="J37" i="4"/>
  <c r="K37" i="4"/>
  <c r="A41" i="4"/>
  <c r="B40" i="4"/>
  <c r="C40" i="4" s="1"/>
  <c r="H39" i="4" l="1"/>
  <c r="G39" i="4"/>
  <c r="I39" i="4" s="1"/>
  <c r="K38" i="4"/>
  <c r="J38" i="4"/>
  <c r="O38" i="4"/>
  <c r="N38" i="4"/>
  <c r="S38" i="4"/>
  <c r="R38" i="4"/>
  <c r="Q39" i="4"/>
  <c r="E40" i="4"/>
  <c r="F40" i="4" s="1"/>
  <c r="D40" i="4"/>
  <c r="B41" i="4"/>
  <c r="C41" i="4" s="1"/>
  <c r="A42" i="4"/>
  <c r="H40" i="4" l="1"/>
  <c r="G40" i="4"/>
  <c r="I40" i="4" s="1"/>
  <c r="K39" i="4"/>
  <c r="J39" i="4"/>
  <c r="S39" i="4"/>
  <c r="R39" i="4"/>
  <c r="Q40" i="4"/>
  <c r="O39" i="4"/>
  <c r="N39" i="4"/>
  <c r="A43" i="4"/>
  <c r="B42" i="4"/>
  <c r="C42" i="4" s="1"/>
  <c r="E41" i="4"/>
  <c r="F41" i="4" s="1"/>
  <c r="D41" i="4"/>
  <c r="H41" i="4" l="1"/>
  <c r="G41" i="4"/>
  <c r="I41" i="4" s="1"/>
  <c r="K40" i="4"/>
  <c r="J40" i="4"/>
  <c r="O40" i="4"/>
  <c r="N40" i="4"/>
  <c r="S40" i="4"/>
  <c r="R40" i="4"/>
  <c r="Q41" i="4"/>
  <c r="E42" i="4"/>
  <c r="F42" i="4" s="1"/>
  <c r="D42" i="4"/>
  <c r="B43" i="4"/>
  <c r="C43" i="4" s="1"/>
  <c r="A44" i="4"/>
  <c r="H42" i="4" l="1"/>
  <c r="G42" i="4"/>
  <c r="I42" i="4" s="1"/>
  <c r="K41" i="4"/>
  <c r="J41" i="4"/>
  <c r="D43" i="4"/>
  <c r="E43" i="4"/>
  <c r="F43" i="4" s="1"/>
  <c r="S41" i="4"/>
  <c r="R41" i="4"/>
  <c r="Q42" i="4"/>
  <c r="O41" i="4"/>
  <c r="N41" i="4"/>
  <c r="A45" i="4"/>
  <c r="B44" i="4"/>
  <c r="C44" i="4" s="1"/>
  <c r="H43" i="4" l="1"/>
  <c r="G43" i="4"/>
  <c r="I43" i="4" s="1"/>
  <c r="K42" i="4"/>
  <c r="J42" i="4"/>
  <c r="O42" i="4"/>
  <c r="N42" i="4"/>
  <c r="S42" i="4"/>
  <c r="R42" i="4"/>
  <c r="Q43" i="4"/>
  <c r="E44" i="4"/>
  <c r="F44" i="4" s="1"/>
  <c r="D44" i="4"/>
  <c r="A46" i="4"/>
  <c r="B45" i="4"/>
  <c r="C45" i="4" s="1"/>
  <c r="H44" i="4" l="1"/>
  <c r="G44" i="4"/>
  <c r="I44" i="4" s="1"/>
  <c r="K43" i="4"/>
  <c r="J43" i="4"/>
  <c r="O43" i="4"/>
  <c r="N43" i="4"/>
  <c r="Q44" i="4"/>
  <c r="R43" i="4"/>
  <c r="S43" i="4"/>
  <c r="E45" i="4"/>
  <c r="F45" i="4" s="1"/>
  <c r="D45" i="4"/>
  <c r="A47" i="4"/>
  <c r="B46" i="4"/>
  <c r="C46" i="4" s="1"/>
  <c r="H45" i="4" l="1"/>
  <c r="G45" i="4"/>
  <c r="I45" i="4" s="1"/>
  <c r="K44" i="4"/>
  <c r="J44" i="4"/>
  <c r="N44" i="4"/>
  <c r="O44" i="4"/>
  <c r="Q45" i="4"/>
  <c r="S44" i="4"/>
  <c r="R44" i="4"/>
  <c r="E46" i="4"/>
  <c r="F46" i="4" s="1"/>
  <c r="D46" i="4"/>
  <c r="A48" i="4"/>
  <c r="B47" i="4"/>
  <c r="C47" i="4" s="1"/>
  <c r="H46" i="4" l="1"/>
  <c r="G46" i="4"/>
  <c r="I46" i="4" s="1"/>
  <c r="K45" i="4"/>
  <c r="J45" i="4"/>
  <c r="Q46" i="4"/>
  <c r="O45" i="4"/>
  <c r="N45" i="4"/>
  <c r="S45" i="4"/>
  <c r="R45" i="4"/>
  <c r="E47" i="4"/>
  <c r="F47" i="4" s="1"/>
  <c r="D47" i="4"/>
  <c r="B48" i="4"/>
  <c r="C48" i="4" s="1"/>
  <c r="A49" i="4"/>
  <c r="H47" i="4" l="1"/>
  <c r="G47" i="4"/>
  <c r="I47" i="4" s="1"/>
  <c r="S46" i="4"/>
  <c r="R46" i="4"/>
  <c r="Q47" i="4"/>
  <c r="K46" i="4"/>
  <c r="J46" i="4"/>
  <c r="N46" i="4"/>
  <c r="O46" i="4"/>
  <c r="A50" i="4"/>
  <c r="B50" i="4" s="1"/>
  <c r="C50" i="4" s="1"/>
  <c r="B49" i="4"/>
  <c r="C49" i="4" s="1"/>
  <c r="E48" i="4"/>
  <c r="F48" i="4" s="1"/>
  <c r="D48" i="4"/>
  <c r="H48" i="4" l="1"/>
  <c r="G48" i="4"/>
  <c r="J47" i="4"/>
  <c r="K47" i="4"/>
  <c r="O47" i="4"/>
  <c r="N47" i="4"/>
  <c r="E50" i="4"/>
  <c r="F50" i="4" s="1"/>
  <c r="D50" i="4"/>
  <c r="S47" i="4"/>
  <c r="R47" i="4"/>
  <c r="E49" i="4"/>
  <c r="F49" i="4" s="1"/>
  <c r="D49" i="4"/>
  <c r="Q48" i="4"/>
  <c r="I48" i="4"/>
  <c r="H49" i="4" l="1"/>
  <c r="G49" i="4"/>
  <c r="I49" i="4" s="1"/>
  <c r="H50" i="4"/>
  <c r="G50" i="4"/>
  <c r="I50" i="4" s="1"/>
  <c r="K48" i="4"/>
  <c r="J48" i="4"/>
  <c r="O48" i="4"/>
  <c r="N48" i="4"/>
  <c r="Q49" i="4"/>
  <c r="S48" i="4"/>
  <c r="R48" i="4"/>
  <c r="Q50" i="4"/>
  <c r="K50" i="4" l="1"/>
  <c r="J50" i="4"/>
  <c r="O50" i="4"/>
  <c r="N50" i="4"/>
  <c r="J49" i="4"/>
  <c r="K49" i="4"/>
  <c r="S49" i="4"/>
  <c r="R49" i="4"/>
  <c r="O49" i="4"/>
  <c r="N49" i="4"/>
  <c r="S50" i="4"/>
  <c r="R50" i="4"/>
</calcChain>
</file>

<file path=xl/sharedStrings.xml><?xml version="1.0" encoding="utf-8"?>
<sst xmlns="http://schemas.openxmlformats.org/spreadsheetml/2006/main" count="64" uniqueCount="33">
  <si>
    <t>Weir dims</t>
  </si>
  <si>
    <t>Datetime</t>
  </si>
  <si>
    <t>Level (in)</t>
  </si>
  <si>
    <t>b1 (left)</t>
  </si>
  <si>
    <t>b1 right (if different)</t>
  </si>
  <si>
    <t>b2</t>
  </si>
  <si>
    <t>h1</t>
  </si>
  <si>
    <t>h2</t>
  </si>
  <si>
    <t>c1</t>
  </si>
  <si>
    <t>c2</t>
  </si>
  <si>
    <t>inches</t>
  </si>
  <si>
    <t>cm</t>
  </si>
  <si>
    <t>NA</t>
  </si>
  <si>
    <t>Constants</t>
  </si>
  <si>
    <t>Ctd</t>
  </si>
  <si>
    <t>Crd</t>
  </si>
  <si>
    <t>m</t>
  </si>
  <si>
    <t>Level (in), &gt;= 0</t>
  </si>
  <si>
    <t>H2 (m)</t>
  </si>
  <si>
    <t>H2_eff (m)</t>
  </si>
  <si>
    <t>H1 (m)</t>
  </si>
  <si>
    <t>H1_eff (m)</t>
  </si>
  <si>
    <t>Flow (m3/s)</t>
  </si>
  <si>
    <t>Flow (m3/s) vnotch</t>
  </si>
  <si>
    <t>V-notch angle</t>
  </si>
  <si>
    <t>Flow (m3/s) rectangle</t>
  </si>
  <si>
    <t>Flow (gpm)</t>
  </si>
  <si>
    <t>Flow (cfs)</t>
  </si>
  <si>
    <t>Site</t>
  </si>
  <si>
    <t>Flow as simple vnotch m3/s</t>
  </si>
  <si>
    <t>gpm</t>
  </si>
  <si>
    <t>cfs</t>
  </si>
  <si>
    <t>Flow as rectangular weir 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</si>
</sst>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9" formatCode="0.00000000"/>
    <numFmt numFmtId="170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 Data in inches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28286701914419E-2"/>
          <c:y val="9.3402148144540995E-2"/>
          <c:w val="0.88364231848540542"/>
          <c:h val="0.84385765372318855"/>
        </c:manualLayout>
      </c:layout>
      <c:scatterChart>
        <c:scatterStyle val="lineMarker"/>
        <c:varyColors val="0"/>
        <c:ser>
          <c:idx val="0"/>
          <c:order val="0"/>
          <c:tx>
            <c:v>Raw Level data (in)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Data!$C$1:$C$1445</c:f>
              <c:numCache>
                <c:formatCode>General</c:formatCode>
                <c:ptCount val="1445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DF-462F-9807-4D89114E4292}"/>
            </c:ext>
          </c:extLst>
        </c:ser>
        <c:ser>
          <c:idx val="1"/>
          <c:order val="1"/>
          <c:tx>
            <c:v>Level above v-notch (in)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Data!$D$2:$D$1441</c:f>
              <c:numCache>
                <c:formatCode>General</c:formatCode>
                <c:ptCount val="1440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DF-462F-9807-4D89114E4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45368"/>
        <c:axId val="226744384"/>
      </c:scatterChart>
      <c:valAx>
        <c:axId val="22674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4384"/>
        <c:crosses val="autoZero"/>
        <c:crossBetween val="midCat"/>
      </c:valAx>
      <c:valAx>
        <c:axId val="2267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Level (in)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5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9970198249715"/>
          <c:y val="0.14231108029675002"/>
          <c:w val="0.22557262474755496"/>
          <c:h val="0.1033302170757096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 Data in 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98304174514209"/>
          <c:y val="9.0294729828178336E-2"/>
          <c:w val="0.86058756344217779"/>
          <c:h val="0.79275689478026046"/>
        </c:manualLayout>
      </c:layout>
      <c:scatterChart>
        <c:scatterStyle val="lineMarker"/>
        <c:varyColors val="0"/>
        <c:ser>
          <c:idx val="0"/>
          <c:order val="0"/>
          <c:tx>
            <c:v>Level above v-notch H2 (m)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Data!$E$1:$E$1445</c:f>
              <c:numCache>
                <c:formatCode>0.00</c:formatCode>
                <c:ptCount val="1445"/>
                <c:pt idx="0" formatCode="General">
                  <c:v>0</c:v>
                </c:pt>
                <c:pt idx="1">
                  <c:v>0</c:v>
                </c:pt>
                <c:pt idx="2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4-443F-8679-B16CDE5E944E}"/>
            </c:ext>
          </c:extLst>
        </c:ser>
        <c:ser>
          <c:idx val="1"/>
          <c:order val="1"/>
          <c:tx>
            <c:v>Level above Horiz Crest H1 (in)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Data!$G$2:$G$1441</c:f>
              <c:numCache>
                <c:formatCode>0.00</c:formatCode>
                <c:ptCount val="1440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4-443F-8679-B16CDE5E9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45368"/>
        <c:axId val="226744384"/>
      </c:scatterChart>
      <c:valAx>
        <c:axId val="22674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4384"/>
        <c:crosses val="autoZero"/>
        <c:crossBetween val="midCat"/>
      </c:valAx>
      <c:valAx>
        <c:axId val="2267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Level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5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186230683700562"/>
          <c:y val="0.13312623639811405"/>
          <c:w val="0.27255652121294638"/>
          <c:h val="0.1033302170757096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 in m3/s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72744257111953"/>
          <c:y val="9.2717646627862624E-2"/>
          <c:w val="0.84922356607441363"/>
          <c:h val="0.75768672638028989"/>
        </c:manualLayout>
      </c:layout>
      <c:scatterChart>
        <c:scatterStyle val="lineMarker"/>
        <c:varyColors val="0"/>
        <c:ser>
          <c:idx val="0"/>
          <c:order val="0"/>
          <c:tx>
            <c:v>Flow in V-notch (m3/s)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Data!$I$1:$I$1445</c:f>
              <c:numCache>
                <c:formatCode>0.00000000</c:formatCode>
                <c:ptCount val="1445"/>
                <c:pt idx="0" formatCode="0.0000">
                  <c:v>0</c:v>
                </c:pt>
                <c:pt idx="1">
                  <c:v>0</c:v>
                </c:pt>
                <c:pt idx="2">
                  <c:v>1.519777538163362E-4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B-4FC2-853F-9D019B69ED20}"/>
            </c:ext>
          </c:extLst>
        </c:ser>
        <c:ser>
          <c:idx val="1"/>
          <c:order val="1"/>
          <c:tx>
            <c:v>Flow in Rectangular notch (m3/s)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Data!$J$2:$J$1441</c:f>
              <c:numCache>
                <c:formatCode>0.0000</c:formatCode>
                <c:ptCount val="1440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2B-4FC2-853F-9D019B69ED20}"/>
            </c:ext>
          </c:extLst>
        </c:ser>
        <c:ser>
          <c:idx val="2"/>
          <c:order val="2"/>
          <c:tx>
            <c:v>Total Flow (m3/s)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Data!$B$1:$B$1445</c:f>
              <c:strCache>
                <c:ptCount val="1"/>
                <c:pt idx="0">
                  <c:v>Datetime</c:v>
                </c:pt>
              </c:strCache>
            </c:strRef>
          </c:xVal>
          <c:yVal>
            <c:numRef>
              <c:f>Data!$K$2:$K$1445</c:f>
              <c:numCache>
                <c:formatCode>0.00000000</c:formatCode>
                <c:ptCount val="1444"/>
                <c:pt idx="0">
                  <c:v>0</c:v>
                </c:pt>
                <c:pt idx="1">
                  <c:v>1.519777538163362E-4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02B-4FC2-853F-9D019B69E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45368"/>
        <c:axId val="226744384"/>
      </c:scatterChart>
      <c:valAx>
        <c:axId val="22674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4384"/>
        <c:crosses val="autoZero"/>
        <c:crossBetween val="midCat"/>
      </c:valAx>
      <c:valAx>
        <c:axId val="2267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5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880747615481784"/>
          <c:y val="0.14342785822248258"/>
          <c:w val="0.2905873365252975"/>
          <c:h val="0.1539349244250203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Compound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'Compound vs Simple 120 V'!$A$2:$A$50</c:f>
              <c:numCache>
                <c:formatCode>General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xVal>
          <c:yVal>
            <c:numRef>
              <c:f>'Compound vs Simple 120 V'!$J$2:$J$50</c:f>
              <c:numCache>
                <c:formatCode>0.00</c:formatCode>
                <c:ptCount val="49"/>
                <c:pt idx="0">
                  <c:v>0</c:v>
                </c:pt>
                <c:pt idx="1">
                  <c:v>9.3719803700911514E-2</c:v>
                </c:pt>
                <c:pt idx="2">
                  <c:v>0.45909301700492872</c:v>
                </c:pt>
                <c:pt idx="3">
                  <c:v>1.2035594398719882</c:v>
                </c:pt>
                <c:pt idx="4">
                  <c:v>2.4089040072330428</c:v>
                </c:pt>
                <c:pt idx="5">
                  <c:v>4.1442290246647842</c:v>
                </c:pt>
                <c:pt idx="6">
                  <c:v>6.4705361678970892</c:v>
                </c:pt>
                <c:pt idx="7">
                  <c:v>9.4430594669810386</c:v>
                </c:pt>
                <c:pt idx="8">
                  <c:v>13.112651527085298</c:v>
                </c:pt>
                <c:pt idx="9">
                  <c:v>22.27842981928579</c:v>
                </c:pt>
                <c:pt idx="10">
                  <c:v>32.729672503513655</c:v>
                </c:pt>
                <c:pt idx="11">
                  <c:v>45.090758518362669</c:v>
                </c:pt>
                <c:pt idx="12">
                  <c:v>59.058415965936419</c:v>
                </c:pt>
                <c:pt idx="13">
                  <c:v>74.446067385185771</c:v>
                </c:pt>
                <c:pt idx="14">
                  <c:v>91.122673602232339</c:v>
                </c:pt>
                <c:pt idx="15">
                  <c:v>108.98917555057224</c:v>
                </c:pt>
                <c:pt idx="16">
                  <c:v>127.9670535898959</c:v>
                </c:pt>
                <c:pt idx="17">
                  <c:v>147.99196285027688</c:v>
                </c:pt>
                <c:pt idx="18">
                  <c:v>169.00985493478248</c:v>
                </c:pt>
                <c:pt idx="19">
                  <c:v>190.97445404158148</c:v>
                </c:pt>
                <c:pt idx="20">
                  <c:v>213.84553043817468</c:v>
                </c:pt>
                <c:pt idx="21">
                  <c:v>237.58767209213792</c:v>
                </c:pt>
                <c:pt idx="22">
                  <c:v>262.16938254704007</c:v>
                </c:pt>
                <c:pt idx="23">
                  <c:v>287.56240080490318</c:v>
                </c:pt>
                <c:pt idx="24">
                  <c:v>313.7411771654377</c:v>
                </c:pt>
                <c:pt idx="25">
                  <c:v>340.68246160488815</c:v>
                </c:pt>
                <c:pt idx="26">
                  <c:v>368.36497525235535</c:v>
                </c:pt>
                <c:pt idx="27">
                  <c:v>396.7691444572809</c:v>
                </c:pt>
                <c:pt idx="28">
                  <c:v>425.87688282996442</c:v>
                </c:pt>
                <c:pt idx="29">
                  <c:v>455.67141062001627</c:v>
                </c:pt>
                <c:pt idx="30">
                  <c:v>486.13710355476923</c:v>
                </c:pt>
                <c:pt idx="31">
                  <c:v>517.25936520758296</c:v>
                </c:pt>
                <c:pt idx="32">
                  <c:v>549.02451836755745</c:v>
                </c:pt>
                <c:pt idx="33">
                  <c:v>581.41971190726417</c:v>
                </c:pt>
                <c:pt idx="34">
                  <c:v>614.43284040609012</c:v>
                </c:pt>
                <c:pt idx="35">
                  <c:v>648.05247435930266</c:v>
                </c:pt>
                <c:pt idx="36">
                  <c:v>682.26779923902939</c:v>
                </c:pt>
                <c:pt idx="37">
                  <c:v>717.06856200925404</c:v>
                </c:pt>
                <c:pt idx="38">
                  <c:v>752.4450239583349</c:v>
                </c:pt>
                <c:pt idx="39">
                  <c:v>788.3879189179853</c:v>
                </c:pt>
                <c:pt idx="40">
                  <c:v>824.88841610046711</c:v>
                </c:pt>
                <c:pt idx="41">
                  <c:v>861.93808691590732</c:v>
                </c:pt>
                <c:pt idx="42">
                  <c:v>899.52887523644097</c:v>
                </c:pt>
                <c:pt idx="43">
                  <c:v>937.65307065890022</c:v>
                </c:pt>
                <c:pt idx="44">
                  <c:v>976.30328438720107</c:v>
                </c:pt>
                <c:pt idx="45">
                  <c:v>1015.4724274125813</c:v>
                </c:pt>
                <c:pt idx="46">
                  <c:v>1055.15369071702</c:v>
                </c:pt>
                <c:pt idx="47">
                  <c:v>1095.3405272643156</c:v>
                </c:pt>
                <c:pt idx="48">
                  <c:v>1136.0266355760471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9-4E4B-A3C0-14E74B3142B1}"/>
            </c:ext>
          </c:extLst>
        </c:ser>
        <c:ser>
          <c:idx val="1"/>
          <c:order val="1"/>
          <c:tx>
            <c:v>Simple 120 deg V-notch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'Compound vs Simple 120 V'!$A$2:$A$50</c:f>
              <c:numCache>
                <c:formatCode>General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xVal>
          <c:yVal>
            <c:numRef>
              <c:f>'Compound vs Simple 120 V'!$N$2:$N$50</c:f>
              <c:numCache>
                <c:formatCode>0.00</c:formatCode>
                <c:ptCount val="49"/>
                <c:pt idx="0">
                  <c:v>0</c:v>
                </c:pt>
                <c:pt idx="1">
                  <c:v>9.3719803700911514E-2</c:v>
                </c:pt>
                <c:pt idx="2">
                  <c:v>0.45909301700492872</c:v>
                </c:pt>
                <c:pt idx="3">
                  <c:v>1.2035594398719882</c:v>
                </c:pt>
                <c:pt idx="4">
                  <c:v>2.4089040072330428</c:v>
                </c:pt>
                <c:pt idx="5">
                  <c:v>4.1442290246647842</c:v>
                </c:pt>
                <c:pt idx="6">
                  <c:v>6.4705361678970892</c:v>
                </c:pt>
                <c:pt idx="7">
                  <c:v>9.4430594669810386</c:v>
                </c:pt>
                <c:pt idx="8">
                  <c:v>13.112651527085298</c:v>
                </c:pt>
                <c:pt idx="9">
                  <c:v>17.526688438201383</c:v>
                </c:pt>
                <c:pt idx="10">
                  <c:v>22.729699707038119</c:v>
                </c:pt>
                <c:pt idx="11">
                  <c:v>28.763827875282828</c:v>
                </c:pt>
                <c:pt idx="12">
                  <c:v>35.669176161877957</c:v>
                </c:pt>
                <c:pt idx="13">
                  <c:v>43.484079011088397</c:v>
                </c:pt>
                <c:pt idx="14">
                  <c:v>52.245317574239635</c:v>
                </c:pt>
                <c:pt idx="15">
                  <c:v>61.98829465908431</c:v>
                </c:pt>
                <c:pt idx="16">
                  <c:v>72.747179087975681</c:v>
                </c:pt>
                <c:pt idx="17">
                  <c:v>84.555026472789393</c:v>
                </c:pt>
                <c:pt idx="18">
                  <c:v>97.44388147510854</c:v>
                </c:pt>
                <c:pt idx="19">
                  <c:v>111.4448652993606</c:v>
                </c:pt>
                <c:pt idx="20">
                  <c:v>126.5882512437817</c:v>
                </c:pt>
                <c:pt idx="21">
                  <c:v>142.90353047478624</c:v>
                </c:pt>
                <c:pt idx="22">
                  <c:v>160.419469709948</c:v>
                </c:pt>
                <c:pt idx="23">
                  <c:v>179.16416213862735</c:v>
                </c:pt>
                <c:pt idx="24">
                  <c:v>199.16507264102628</c:v>
                </c:pt>
                <c:pt idx="25">
                  <c:v>220.44907816158658</c:v>
                </c:pt>
                <c:pt idx="26">
                  <c:v>243.04250393415509</c:v>
                </c:pt>
                <c:pt idx="27">
                  <c:v>266.97115613232586</c:v>
                </c:pt>
                <c:pt idx="28">
                  <c:v>292.26035142029099</c:v>
                </c:pt>
                <c:pt idx="29">
                  <c:v>318.93494380121098</c:v>
                </c:pt>
                <c:pt idx="30">
                  <c:v>347.01934909702675</c:v>
                </c:pt>
                <c:pt idx="31">
                  <c:v>376.53756734236487</c:v>
                </c:pt>
                <c:pt idx="32">
                  <c:v>407.51320333325384</c:v>
                </c:pt>
                <c:pt idx="33">
                  <c:v>439.969485536766</c:v>
                </c:pt>
                <c:pt idx="34">
                  <c:v>473.92928353901993</c:v>
                </c:pt>
                <c:pt idx="35">
                  <c:v>509.41512418500457</c:v>
                </c:pt>
                <c:pt idx="36">
                  <c:v>546.44920654357804</c:v>
                </c:pt>
                <c:pt idx="37">
                  <c:v>585.05341581400182</c:v>
                </c:pt>
                <c:pt idx="38">
                  <c:v>625.24933627595976</c:v>
                </c:pt>
                <c:pt idx="39">
                  <c:v>667.05826337272276</c:v>
                </c:pt>
                <c:pt idx="40">
                  <c:v>710.50121500658952</c:v>
                </c:pt>
                <c:pt idx="41">
                  <c:v>755.598942116687</c:v>
                </c:pt>
                <c:pt idx="42">
                  <c:v>802.37193860139234</c:v>
                </c:pt>
                <c:pt idx="43">
                  <c:v>850.84045064085365</c:v>
                </c:pt>
                <c:pt idx="44">
                  <c:v>901.02448546920311</c:v>
                </c:pt>
                <c:pt idx="45">
                  <c:v>952.94381964089553</c:v>
                </c:pt>
                <c:pt idx="46">
                  <c:v>1006.6180068310948</c:v>
                </c:pt>
                <c:pt idx="47">
                  <c:v>1062.0663852060841</c:v>
                </c:pt>
                <c:pt idx="48">
                  <c:v>1119.308084396157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D9-4E4B-A3C0-14E74B3142B1}"/>
            </c:ext>
          </c:extLst>
        </c:ser>
        <c:ser>
          <c:idx val="2"/>
          <c:order val="2"/>
          <c:tx>
            <c:v>Rectangular weir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'Compound vs Simple 120 V'!$A$2:$A$50</c:f>
              <c:numCache>
                <c:formatCode>General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xVal>
          <c:yVal>
            <c:numRef>
              <c:f>'Compound vs Simple 120 V'!$R$2:$R$50</c:f>
              <c:numCache>
                <c:formatCode>0.00</c:formatCode>
                <c:ptCount val="49"/>
                <c:pt idx="0">
                  <c:v>0</c:v>
                </c:pt>
                <c:pt idx="1">
                  <c:v>2.9685238740029942</c:v>
                </c:pt>
                <c:pt idx="2">
                  <c:v>7.7016208772870032</c:v>
                </c:pt>
                <c:pt idx="3">
                  <c:v>13.731634969683173</c:v>
                </c:pt>
                <c:pt idx="4">
                  <c:v>20.822526348959862</c:v>
                </c:pt>
                <c:pt idx="5">
                  <c:v>28.834204395614641</c:v>
                </c:pt>
                <c:pt idx="6">
                  <c:v>37.670890390573511</c:v>
                </c:pt>
                <c:pt idx="7">
                  <c:v>47.26170212527056</c:v>
                </c:pt>
                <c:pt idx="8">
                  <c:v>57.551418950003274</c:v>
                </c:pt>
                <c:pt idx="9">
                  <c:v>68.495437469328522</c:v>
                </c:pt>
                <c:pt idx="10">
                  <c:v>80.056747659386076</c:v>
                </c:pt>
                <c:pt idx="11">
                  <c:v>92.203993749531634</c:v>
                </c:pt>
                <c:pt idx="12">
                  <c:v>104.91016524609499</c:v>
                </c:pt>
                <c:pt idx="13">
                  <c:v>118.15167682580571</c:v>
                </c:pt>
                <c:pt idx="14">
                  <c:v>131.90770001359573</c:v>
                </c:pt>
                <c:pt idx="15">
                  <c:v>146.15966439307894</c:v>
                </c:pt>
                <c:pt idx="16">
                  <c:v>160.89087674496935</c:v>
                </c:pt>
                <c:pt idx="17">
                  <c:v>176.08622450615533</c:v>
                </c:pt>
                <c:pt idx="18">
                  <c:v>191.73194095886129</c:v>
                </c:pt>
                <c:pt idx="19">
                  <c:v>207.8154165454971</c:v>
                </c:pt>
                <c:pt idx="20">
                  <c:v>224.32504527217614</c:v>
                </c:pt>
                <c:pt idx="21">
                  <c:v>241.25009823036655</c:v>
                </c:pt>
                <c:pt idx="22">
                  <c:v>258.58061837369888</c:v>
                </c:pt>
                <c:pt idx="23">
                  <c:v>276.30733216584395</c:v>
                </c:pt>
                <c:pt idx="24">
                  <c:v>294.42157477256853</c:v>
                </c:pt>
                <c:pt idx="25">
                  <c:v>312.91522623953131</c:v>
                </c:pt>
                <c:pt idx="26">
                  <c:v>331.78065666444866</c:v>
                </c:pt>
                <c:pt idx="27">
                  <c:v>351.01067879649941</c:v>
                </c:pt>
                <c:pt idx="28">
                  <c:v>370.59850681721593</c:v>
                </c:pt>
                <c:pt idx="29">
                  <c:v>390.53772030337586</c:v>
                </c:pt>
                <c:pt idx="30">
                  <c:v>410.82223256313182</c:v>
                </c:pt>
                <c:pt idx="31">
                  <c:v>431.44626268574569</c:v>
                </c:pt>
                <c:pt idx="32">
                  <c:v>452.40431076298955</c:v>
                </c:pt>
                <c:pt idx="33">
                  <c:v>473.69113583391368</c:v>
                </c:pt>
                <c:pt idx="34">
                  <c:v>495.30173617978949</c:v>
                </c:pt>
                <c:pt idx="35">
                  <c:v>517.23133165669685</c:v>
                </c:pt>
                <c:pt idx="36">
                  <c:v>539.47534780258081</c:v>
                </c:pt>
                <c:pt idx="37">
                  <c:v>562.02940149598282</c:v>
                </c:pt>
                <c:pt idx="38">
                  <c:v>584.8892879769345</c:v>
                </c:pt>
                <c:pt idx="39">
                  <c:v>608.05096906802635</c:v>
                </c:pt>
                <c:pt idx="40">
                  <c:v>631.51056245662949</c:v>
                </c:pt>
                <c:pt idx="41">
                  <c:v>655.26433191841386</c:v>
                </c:pt>
                <c:pt idx="42">
                  <c:v>679.30867837847495</c:v>
                </c:pt>
                <c:pt idx="43">
                  <c:v>703.6401317199834</c:v>
                </c:pt>
                <c:pt idx="44">
                  <c:v>728.25534326186323</c:v>
                </c:pt>
                <c:pt idx="45">
                  <c:v>753.15107883682981</c:v>
                </c:pt>
                <c:pt idx="46">
                  <c:v>778.32421240955023</c:v>
                </c:pt>
                <c:pt idx="47">
                  <c:v>803.77172018192221</c:v>
                </c:pt>
                <c:pt idx="48">
                  <c:v>829.49067513867328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D9-4E4B-A3C0-14E74B314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372416"/>
        <c:axId val="836373072"/>
      </c:scatterChart>
      <c:valAx>
        <c:axId val="8363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73072"/>
        <c:crosses val="autoZero"/>
        <c:crossBetween val="midCat"/>
      </c:valAx>
      <c:valAx>
        <c:axId val="836373072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7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Compound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'Compound vs Simple 90 V'!$A$2:$A$50</c:f>
              <c:numCache>
                <c:formatCode>General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xVal>
          <c:yVal>
            <c:numRef>
              <c:f>'Compound vs Simple 90 V'!$J$2:$J$50</c:f>
              <c:numCache>
                <c:formatCode>0.00</c:formatCode>
                <c:ptCount val="49"/>
                <c:pt idx="0">
                  <c:v>0</c:v>
                </c:pt>
                <c:pt idx="1">
                  <c:v>9.3719803700911514E-2</c:v>
                </c:pt>
                <c:pt idx="2">
                  <c:v>0.45909301700492872</c:v>
                </c:pt>
                <c:pt idx="3">
                  <c:v>1.2035594398719882</c:v>
                </c:pt>
                <c:pt idx="4">
                  <c:v>2.4089040072330428</c:v>
                </c:pt>
                <c:pt idx="5">
                  <c:v>4.1442290246647842</c:v>
                </c:pt>
                <c:pt idx="6">
                  <c:v>6.4705361678970892</c:v>
                </c:pt>
                <c:pt idx="7">
                  <c:v>9.4430594669810386</c:v>
                </c:pt>
                <c:pt idx="8">
                  <c:v>13.112651527085298</c:v>
                </c:pt>
                <c:pt idx="9">
                  <c:v>25.983147614041531</c:v>
                </c:pt>
                <c:pt idx="10">
                  <c:v>42.34129535836783</c:v>
                </c:pt>
                <c:pt idx="11">
                  <c:v>62.227838960527258</c:v>
                </c:pt>
                <c:pt idx="12">
                  <c:v>85.044928849438335</c:v>
                </c:pt>
                <c:pt idx="13">
                  <c:v>110.43115447091283</c:v>
                </c:pt>
                <c:pt idx="14">
                  <c:v>138.13594480966808</c:v>
                </c:pt>
                <c:pt idx="15">
                  <c:v>167.97177980290988</c:v>
                </c:pt>
                <c:pt idx="16">
                  <c:v>199.79122443949998</c:v>
                </c:pt>
                <c:pt idx="17">
                  <c:v>233.47426881199888</c:v>
                </c:pt>
                <c:pt idx="18">
                  <c:v>268.92067601369632</c:v>
                </c:pt>
                <c:pt idx="19">
                  <c:v>306.04503824099692</c:v>
                </c:pt>
                <c:pt idx="20">
                  <c:v>344.77341666530123</c:v>
                </c:pt>
                <c:pt idx="21">
                  <c:v>385.04096477074341</c:v>
                </c:pt>
                <c:pt idx="22">
                  <c:v>426.79019216400746</c:v>
                </c:pt>
                <c:pt idx="23">
                  <c:v>469.96966196746575</c:v>
                </c:pt>
                <c:pt idx="24">
                  <c:v>514.53299134315932</c:v>
                </c:pt>
                <c:pt idx="25">
                  <c:v>560.43806978857015</c:v>
                </c:pt>
                <c:pt idx="26">
                  <c:v>607.64643756901432</c:v>
                </c:pt>
                <c:pt idx="27">
                  <c:v>656.12278430606136</c:v>
                </c:pt>
                <c:pt idx="28">
                  <c:v>705.83453932964028</c:v>
                </c:pt>
                <c:pt idx="29">
                  <c:v>756.75153321151367</c:v>
                </c:pt>
                <c:pt idx="30">
                  <c:v>808.8457152851455</c:v>
                </c:pt>
                <c:pt idx="31">
                  <c:v>862.09091575055618</c:v>
                </c:pt>
                <c:pt idx="32">
                  <c:v>916.46264368372283</c:v>
                </c:pt>
                <c:pt idx="33">
                  <c:v>971.93791425419931</c:v>
                </c:pt>
                <c:pt idx="34">
                  <c:v>1028.495099923322</c:v>
                </c:pt>
                <c:pt idx="35">
                  <c:v>1086.1138014973337</c:v>
                </c:pt>
                <c:pt idx="36">
                  <c:v>1144.7747357469148</c:v>
                </c:pt>
                <c:pt idx="37">
                  <c:v>1204.4596369478672</c:v>
                </c:pt>
                <c:pt idx="38">
                  <c:v>1265.1511701971235</c:v>
                </c:pt>
                <c:pt idx="39">
                  <c:v>1326.8328547497958</c:v>
                </c:pt>
                <c:pt idx="40">
                  <c:v>1389.4889959326781</c:v>
                </c:pt>
                <c:pt idx="41">
                  <c:v>1453.1046244366319</c:v>
                </c:pt>
                <c:pt idx="42">
                  <c:v>1517.6654419888182</c:v>
                </c:pt>
                <c:pt idx="43">
                  <c:v>1583.1577725664581</c:v>
                </c:pt>
                <c:pt idx="44">
                  <c:v>1649.5685184448218</c:v>
                </c:pt>
                <c:pt idx="45">
                  <c:v>1716.8851204795683</c:v>
                </c:pt>
                <c:pt idx="46">
                  <c:v>1785.095522112234</c:v>
                </c:pt>
                <c:pt idx="47">
                  <c:v>1854.1881366612124</c:v>
                </c:pt>
                <c:pt idx="48">
                  <c:v>1924.1518175219207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C-4C76-9DAE-263B9558D83C}"/>
            </c:ext>
          </c:extLst>
        </c:ser>
        <c:ser>
          <c:idx val="1"/>
          <c:order val="1"/>
          <c:tx>
            <c:v>Simple 90 deg V-notch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'Compound vs Simple 90 V'!$A$2:$A$50</c:f>
              <c:numCache>
                <c:formatCode>General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xVal>
          <c:yVal>
            <c:numRef>
              <c:f>'Compound vs Simple 90 V'!$N$2:$N$50</c:f>
              <c:numCache>
                <c:formatCode>0.00</c:formatCode>
                <c:ptCount val="49"/>
                <c:pt idx="0">
                  <c:v>0</c:v>
                </c:pt>
                <c:pt idx="1">
                  <c:v>9.3719803700911514E-2</c:v>
                </c:pt>
                <c:pt idx="2">
                  <c:v>0.45909301700492872</c:v>
                </c:pt>
                <c:pt idx="3">
                  <c:v>1.2035594398719882</c:v>
                </c:pt>
                <c:pt idx="4">
                  <c:v>2.4089040072330428</c:v>
                </c:pt>
                <c:pt idx="5">
                  <c:v>4.1442290246647842</c:v>
                </c:pt>
                <c:pt idx="6">
                  <c:v>6.4705361678970892</c:v>
                </c:pt>
                <c:pt idx="7">
                  <c:v>9.4430594669810386</c:v>
                </c:pt>
                <c:pt idx="8">
                  <c:v>13.112651527085298</c:v>
                </c:pt>
                <c:pt idx="9">
                  <c:v>17.526688438201383</c:v>
                </c:pt>
                <c:pt idx="10">
                  <c:v>22.729699707038119</c:v>
                </c:pt>
                <c:pt idx="11">
                  <c:v>28.763827875282828</c:v>
                </c:pt>
                <c:pt idx="12">
                  <c:v>35.669176161877957</c:v>
                </c:pt>
                <c:pt idx="13">
                  <c:v>43.484079011088397</c:v>
                </c:pt>
                <c:pt idx="14">
                  <c:v>52.245317574239635</c:v>
                </c:pt>
                <c:pt idx="15">
                  <c:v>61.98829465908431</c:v>
                </c:pt>
                <c:pt idx="16">
                  <c:v>72.747179087975681</c:v>
                </c:pt>
                <c:pt idx="17">
                  <c:v>84.555026472789393</c:v>
                </c:pt>
                <c:pt idx="18">
                  <c:v>97.44388147510854</c:v>
                </c:pt>
                <c:pt idx="19">
                  <c:v>111.4448652993606</c:v>
                </c:pt>
                <c:pt idx="20">
                  <c:v>126.5882512437817</c:v>
                </c:pt>
                <c:pt idx="21">
                  <c:v>142.90353047478624</c:v>
                </c:pt>
                <c:pt idx="22">
                  <c:v>160.419469709948</c:v>
                </c:pt>
                <c:pt idx="23">
                  <c:v>179.16416213862735</c:v>
                </c:pt>
                <c:pt idx="24">
                  <c:v>199.16507264102628</c:v>
                </c:pt>
                <c:pt idx="25">
                  <c:v>220.44907816158658</c:v>
                </c:pt>
                <c:pt idx="26">
                  <c:v>243.04250393415509</c:v>
                </c:pt>
                <c:pt idx="27">
                  <c:v>266.97115613232586</c:v>
                </c:pt>
                <c:pt idx="28">
                  <c:v>292.26035142029099</c:v>
                </c:pt>
                <c:pt idx="29">
                  <c:v>318.93494380121098</c:v>
                </c:pt>
                <c:pt idx="30">
                  <c:v>347.01934909702675</c:v>
                </c:pt>
                <c:pt idx="31">
                  <c:v>376.53756734236487</c:v>
                </c:pt>
                <c:pt idx="32">
                  <c:v>407.51320333325384</c:v>
                </c:pt>
                <c:pt idx="33">
                  <c:v>439.969485536766</c:v>
                </c:pt>
                <c:pt idx="34">
                  <c:v>473.92928353901993</c:v>
                </c:pt>
                <c:pt idx="35">
                  <c:v>509.41512418500457</c:v>
                </c:pt>
                <c:pt idx="36">
                  <c:v>546.44920654357804</c:v>
                </c:pt>
                <c:pt idx="37">
                  <c:v>585.05341581400182</c:v>
                </c:pt>
                <c:pt idx="38">
                  <c:v>625.24933627595976</c:v>
                </c:pt>
                <c:pt idx="39">
                  <c:v>667.05826337272276</c:v>
                </c:pt>
                <c:pt idx="40">
                  <c:v>710.50121500658952</c:v>
                </c:pt>
                <c:pt idx="41">
                  <c:v>755.598942116687</c:v>
                </c:pt>
                <c:pt idx="42">
                  <c:v>802.37193860139234</c:v>
                </c:pt>
                <c:pt idx="43">
                  <c:v>850.84045064085365</c:v>
                </c:pt>
                <c:pt idx="44">
                  <c:v>901.02448546920311</c:v>
                </c:pt>
                <c:pt idx="45">
                  <c:v>952.94381964089553</c:v>
                </c:pt>
                <c:pt idx="46">
                  <c:v>1006.6180068310948</c:v>
                </c:pt>
                <c:pt idx="47">
                  <c:v>1062.0663852060841</c:v>
                </c:pt>
                <c:pt idx="48">
                  <c:v>1119.308084396157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5C-4C76-9DAE-263B9558D83C}"/>
            </c:ext>
          </c:extLst>
        </c:ser>
        <c:ser>
          <c:idx val="2"/>
          <c:order val="2"/>
          <c:tx>
            <c:v>Rectangular weir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'Compound vs Simple 90 V'!$A$2:$A$50</c:f>
              <c:numCache>
                <c:formatCode>General</c:formatCode>
                <c:ptCount val="4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</c:numCache>
            </c:numRef>
          </c:xVal>
          <c:yVal>
            <c:numRef>
              <c:f>'Compound vs Simple 90 V'!$R$2:$R$50</c:f>
              <c:numCache>
                <c:formatCode>0.00</c:formatCode>
                <c:ptCount val="49"/>
                <c:pt idx="0">
                  <c:v>0</c:v>
                </c:pt>
                <c:pt idx="1">
                  <c:v>6.3611225871492731</c:v>
                </c:pt>
                <c:pt idx="2">
                  <c:v>16.503473308472149</c:v>
                </c:pt>
                <c:pt idx="3">
                  <c:v>29.424932077892514</c:v>
                </c:pt>
                <c:pt idx="4">
                  <c:v>44.619699319199704</c:v>
                </c:pt>
                <c:pt idx="5">
                  <c:v>61.787580847745652</c:v>
                </c:pt>
                <c:pt idx="6">
                  <c:v>80.723336551228954</c:v>
                </c:pt>
                <c:pt idx="7">
                  <c:v>101.27507598272261</c:v>
                </c:pt>
                <c:pt idx="8">
                  <c:v>123.32446917857844</c:v>
                </c:pt>
                <c:pt idx="9">
                  <c:v>146.77593743427542</c:v>
                </c:pt>
                <c:pt idx="10">
                  <c:v>171.55017355582729</c:v>
                </c:pt>
                <c:pt idx="11">
                  <c:v>197.57998660613922</c:v>
                </c:pt>
                <c:pt idx="12">
                  <c:v>224.80749695591786</c:v>
                </c:pt>
                <c:pt idx="13">
                  <c:v>253.18216462672652</c:v>
                </c:pt>
                <c:pt idx="14">
                  <c:v>282.65935717199085</c:v>
                </c:pt>
                <c:pt idx="15">
                  <c:v>313.19928084231202</c:v>
                </c:pt>
                <c:pt idx="16">
                  <c:v>344.76616445350572</c:v>
                </c:pt>
                <c:pt idx="17">
                  <c:v>377.32762394176143</c:v>
                </c:pt>
                <c:pt idx="18">
                  <c:v>410.85415919755991</c:v>
                </c:pt>
                <c:pt idx="19">
                  <c:v>445.318749740351</c:v>
                </c:pt>
                <c:pt idx="20">
                  <c:v>480.69652558323457</c:v>
                </c:pt>
                <c:pt idx="21">
                  <c:v>516.96449620792839</c:v>
                </c:pt>
                <c:pt idx="22">
                  <c:v>554.10132508649758</c:v>
                </c:pt>
                <c:pt idx="23">
                  <c:v>592.0871403553798</c:v>
                </c:pt>
                <c:pt idx="24">
                  <c:v>630.90337451264668</c:v>
                </c:pt>
                <c:pt idx="25">
                  <c:v>670.53262765613852</c:v>
                </c:pt>
                <c:pt idx="26">
                  <c:v>710.95854999524704</c:v>
                </c:pt>
                <c:pt idx="27">
                  <c:v>752.16574027821298</c:v>
                </c:pt>
                <c:pt idx="28">
                  <c:v>794.13965746546262</c:v>
                </c:pt>
                <c:pt idx="29">
                  <c:v>836.86654350723393</c:v>
                </c:pt>
                <c:pt idx="30">
                  <c:v>880.33335549242543</c:v>
                </c:pt>
                <c:pt idx="31">
                  <c:v>924.52770575516934</c:v>
                </c:pt>
                <c:pt idx="32">
                  <c:v>969.43780877783479</c:v>
                </c:pt>
                <c:pt idx="33">
                  <c:v>1015.052433929815</c:v>
                </c:pt>
                <c:pt idx="34">
                  <c:v>1061.3608632424059</c:v>
                </c:pt>
                <c:pt idx="35">
                  <c:v>1108.352853550065</c:v>
                </c:pt>
                <c:pt idx="36">
                  <c:v>1156.0186024341019</c:v>
                </c:pt>
                <c:pt idx="37">
                  <c:v>1204.3487174913919</c:v>
                </c:pt>
                <c:pt idx="38">
                  <c:v>1253.3341885220025</c:v>
                </c:pt>
                <c:pt idx="39">
                  <c:v>1302.966362288628</c:v>
                </c:pt>
                <c:pt idx="40">
                  <c:v>1353.2369195499205</c:v>
                </c:pt>
                <c:pt idx="41">
                  <c:v>1404.137854110887</c:v>
                </c:pt>
                <c:pt idx="42">
                  <c:v>1455.6614536681604</c:v>
                </c:pt>
                <c:pt idx="43">
                  <c:v>1507.8002822571073</c:v>
                </c:pt>
                <c:pt idx="44">
                  <c:v>1560.5471641325641</c:v>
                </c:pt>
                <c:pt idx="45">
                  <c:v>1613.8951689360636</c:v>
                </c:pt>
                <c:pt idx="46">
                  <c:v>1667.8375980204646</c:v>
                </c:pt>
                <c:pt idx="47">
                  <c:v>1722.3679718184048</c:v>
                </c:pt>
                <c:pt idx="48">
                  <c:v>1777.4800181542998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5C-4C76-9DAE-263B9558D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372416"/>
        <c:axId val="836373072"/>
      </c:scatterChart>
      <c:valAx>
        <c:axId val="83637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 (inches)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73072"/>
        <c:crosses val="autoZero"/>
        <c:crossBetween val="midCat"/>
      </c:valAx>
      <c:valAx>
        <c:axId val="8363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(gpm)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7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180975</xdr:colOff>
      <xdr:row>1</xdr:row>
      <xdr:rowOff>52387</xdr:rowOff>
    </xdr:from>
    <xdr:to>
      <xdr:col>28</xdr:col>
      <xdr:colOff>85725</xdr:colOff>
      <xdr:row>23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7403BF-13B8-48C9-9902-0F2526800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180975</xdr:colOff>
      <xdr:row>23</xdr:row>
      <xdr:rowOff>152400</xdr:rowOff>
    </xdr:from>
    <xdr:to>
      <xdr:col>28</xdr:col>
      <xdr:colOff>85725</xdr:colOff>
      <xdr:row>45</xdr:row>
      <xdr:rowOff>109538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C03FD4-27ED-411E-B874-2C35B60F6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209550</xdr:colOff>
      <xdr:row>46</xdr:row>
      <xdr:rowOff>104775</xdr:rowOff>
    </xdr:from>
    <xdr:to>
      <xdr:col>28</xdr:col>
      <xdr:colOff>114300</xdr:colOff>
      <xdr:row>68</xdr:row>
      <xdr:rowOff>90488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2B08FE-8DF3-4E5E-8990-2A9E8D919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0.08069</cdr:x>
      <cdr:y>0.37084</cdr:y>
    </cdr:from>
    <cdr:to>
      <cdr:x>0.96686</cdr:x>
      <cdr:y>0.37313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C26F8D97-9B0D-4529-83E1-F07D8BB6BDD7}"/>
            </a:ext>
          </a:extLst>
        </cdr:cNvPr>
        <cdr:cNvCxnSpPr/>
      </cdr:nvCxnSpPr>
      <cdr:spPr>
        <a:xfrm xmlns:a="http://schemas.openxmlformats.org/drawingml/2006/main">
          <a:off x="533400" y="1538288"/>
          <a:ext cx="5857875" cy="952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0.10807</cdr:x>
      <cdr:y>0.48527</cdr:y>
    </cdr:from>
    <cdr:to>
      <cdr:x>0.97743</cdr:x>
      <cdr:y>0.4868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D5DB5B55-3A16-4029-9E3E-E31D79AFE128}"/>
            </a:ext>
          </a:extLst>
        </cdr:cNvPr>
        <cdr:cNvCxnSpPr/>
      </cdr:nvCxnSpPr>
      <cdr:spPr>
        <a:xfrm xmlns:a="http://schemas.openxmlformats.org/drawingml/2006/main" flipV="1">
          <a:off x="714375" y="2012950"/>
          <a:ext cx="5746750" cy="635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342900</xdr:colOff>
      <xdr:row>1</xdr:row>
      <xdr:rowOff>61911</xdr:rowOff>
    </xdr:from>
    <xdr:to>
      <xdr:col>30</xdr:col>
      <xdr:colOff>552450</xdr:colOff>
      <xdr:row>29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8882B4-02BD-451B-9638-154D0DE8E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342900</xdr:colOff>
      <xdr:row>1</xdr:row>
      <xdr:rowOff>61911</xdr:rowOff>
    </xdr:from>
    <xdr:to>
      <xdr:col>30</xdr:col>
      <xdr:colOff>552450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18D59-B4DD-4573-AF01-E5B58853D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190501</xdr:colOff>
      <xdr:row>10</xdr:row>
      <xdr:rowOff>95250</xdr:rowOff>
    </xdr:from>
    <xdr:ext cx="2514599" cy="1367293"/>
    <xdr:pic>
      <xdr:nvPicPr>
        <xdr:cNvPr id="2" name="Picture 1">
          <a:extLst>
            <a:ext uri="{FF2B5EF4-FFF2-40B4-BE49-F238E27FC236}">
              <a16:creationId xmlns:a16="http://schemas.microsoft.com/office/drawing/2014/main" id="{8DE6931F-70E7-4C3A-9A00-4FBD4DD74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2000250"/>
          <a:ext cx="2514599" cy="136729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23</xdr:row>
      <xdr:rowOff>0</xdr:rowOff>
    </xdr:from>
    <xdr:to>
      <xdr:col>9</xdr:col>
      <xdr:colOff>123081</xdr:colOff>
      <xdr:row>34</xdr:row>
      <xdr:rowOff>56881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1B543C-8DDB-42A5-BC72-A10813A67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1500"/>
          <a:ext cx="5952381" cy="215238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19</xdr:col>
      <xdr:colOff>151695</xdr:colOff>
      <xdr:row>36</xdr:row>
      <xdr:rowOff>37786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B78F13-9707-4E9B-B7B2-457EA7662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0" y="4381500"/>
          <a:ext cx="5638095" cy="2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0CC7-3539-444F-9A3F-B708E34039B0}">
  <dimension ref="A1:Q1441"/>
  <sheetViews>
    <sheetView tabSelected="1" topLeftCell="B1" workbookViewId="0">
      <pane ySplit="1" topLeftCell="A2" activePane="bottomLeft" state="frozen"/>
      <selection activeCell="E1" sqref="E1"/>
      <selection pane="bottomLeft" activeCell="L4" sqref="L4"/>
    </sheetView>
  </sheetViews>
  <sheetFormatPr defaultRowHeight="15" x14ac:dyDescent="0.25"/>
  <cols>
    <col min="1" max="1" width="16.28515625" bestFit="1" customWidth="1"/>
    <col min="2" max="2" width="18.7109375" customWidth="1"/>
    <col min="3" max="3" width="16.7109375" customWidth="1"/>
    <col min="4" max="4" width="17" customWidth="1"/>
    <col min="5" max="5" width="11.28515625" customWidth="1"/>
    <col min="6" max="6" width="15.85546875" bestFit="1" customWidth="1"/>
    <col min="7" max="7" width="13.28515625" bestFit="1" customWidth="1"/>
    <col min="8" max="8" width="14.140625" bestFit="1" customWidth="1"/>
    <col min="9" max="9" width="22.28515625" style="11" customWidth="1"/>
    <col min="10" max="10" width="23.42578125" style="11" customWidth="1"/>
    <col min="11" max="11" width="16.7109375" style="11" customWidth="1"/>
    <col min="12" max="12" width="14" customWidth="1"/>
    <col min="13" max="14" width="12.85546875" style="9" customWidth="1"/>
    <col min="15" max="15" width="20" customWidth="1"/>
  </cols>
  <sheetData>
    <row r="1" spans="1:17" x14ac:dyDescent="0.25">
      <c r="A1" s="2" t="s">
        <v>28</v>
      </c>
      <c r="B1" s="2" t="s">
        <v>1</v>
      </c>
      <c r="C1" s="2" t="s">
        <v>2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10" t="s">
        <v>23</v>
      </c>
      <c r="J1" s="10" t="s">
        <v>25</v>
      </c>
      <c r="K1" s="10" t="s">
        <v>22</v>
      </c>
      <c r="L1" s="2" t="s">
        <v>26</v>
      </c>
      <c r="M1" s="8" t="s">
        <v>27</v>
      </c>
      <c r="N1" s="8"/>
    </row>
    <row r="2" spans="1:17" x14ac:dyDescent="0.25">
      <c r="B2" s="1"/>
      <c r="C2">
        <v>0</v>
      </c>
      <c r="D2">
        <f>IF(C2&gt;=0,C2,0)</f>
        <v>0</v>
      </c>
      <c r="E2" s="3">
        <f>D2*0.0254</f>
        <v>0</v>
      </c>
      <c r="F2" s="11">
        <f>IF(E2&gt;0, E2+0.0008, 0)</f>
        <v>0</v>
      </c>
      <c r="G2" s="3">
        <f>IF(E2&gt;'Weir dims'!$D$7, E2-'Weir dims'!$D$7, 0)</f>
        <v>0</v>
      </c>
      <c r="H2" s="3">
        <f>IF(G2&gt;0, G2+0.0008, 0)</f>
        <v>0</v>
      </c>
      <c r="I2" s="12">
        <f>(8/15) * 'Weir dims'!$B$21 * ((2*9.81)^0.5) * (TAN(RADIANS('Weir dims'!$B$2)/2)) * ((F2^2.5) - (H2^2.5))</f>
        <v>0</v>
      </c>
      <c r="J2" s="11">
        <f>(2/3) * 'Weir dims'!$B$22 * ((2*9.81)^0.5) * ('Weir dims'!$D$4  + 'Weir dims'!$D$5) * (H2 ^1.5)</f>
        <v>0</v>
      </c>
      <c r="K2" s="12">
        <f xml:space="preserve"> IF(J2&gt;0, ( I2+J2 ) * 1.092, I2)</f>
        <v>0</v>
      </c>
      <c r="L2" s="3">
        <f>K2 * 15850.372483753</f>
        <v>0</v>
      </c>
      <c r="M2" s="13">
        <f>K2 * 35.3146667</f>
        <v>0</v>
      </c>
      <c r="O2" s="11"/>
      <c r="P2" s="3"/>
      <c r="Q2" s="9"/>
    </row>
    <row r="3" spans="1:17" x14ac:dyDescent="0.25">
      <c r="B3" s="1"/>
      <c r="C3">
        <v>1</v>
      </c>
      <c r="D3">
        <f>IF(C3&gt;=0,C3,0)</f>
        <v>1</v>
      </c>
      <c r="E3" s="3">
        <f>D3*0.0254</f>
        <v>2.5399999999999999E-2</v>
      </c>
      <c r="F3" s="11">
        <f>IF(E3&gt;0, E3+0.0008, 0)</f>
        <v>2.6199999999999998E-2</v>
      </c>
      <c r="G3" s="3">
        <f>IF(E3&gt;'Weir dims'!$D$7, E3-'Weir dims'!$D$7, 0)</f>
        <v>0</v>
      </c>
      <c r="H3" s="3">
        <f>IF(G3&gt;0, G3+0.0008, 0)</f>
        <v>0</v>
      </c>
      <c r="I3" s="12">
        <f>(8/15) * 'Weir dims'!$B$21 * ((2*9.81)^0.5) * (TAN(RADIANS('Weir dims'!$B$2)/2)) * ((F3^2.5) - (H3^2.5))</f>
        <v>1.519777538163362E-4</v>
      </c>
      <c r="J3" s="11">
        <f>(2/3) * 'Weir dims'!$B$22 * ((2*9.81)^0.5) * ('Weir dims'!$D$4  + 'Weir dims'!$D$5) * (H3 ^1.5)</f>
        <v>0</v>
      </c>
      <c r="K3" s="12">
        <f xml:space="preserve"> IF(J3&gt;0, ( I3+J3 ) * 1.092, I3)</f>
        <v>1.519777538163362E-4</v>
      </c>
      <c r="L3" s="3">
        <f>K3 * 15850.372483753</f>
        <v>2.4089040072330428</v>
      </c>
      <c r="M3" s="13">
        <f>K3 * 35.3146667</f>
        <v>5.3670437218385656E-3</v>
      </c>
      <c r="O3" s="11"/>
      <c r="P3" s="3"/>
      <c r="Q3" s="9"/>
    </row>
    <row r="4" spans="1:17" x14ac:dyDescent="0.25">
      <c r="B4" s="1"/>
      <c r="E4" s="3"/>
      <c r="F4" s="3"/>
      <c r="G4" s="3"/>
      <c r="H4" s="3"/>
      <c r="K4" s="3"/>
      <c r="L4" s="3"/>
      <c r="O4" s="11"/>
      <c r="P4" s="3"/>
      <c r="Q4" s="9"/>
    </row>
    <row r="5" spans="1:17" x14ac:dyDescent="0.25">
      <c r="B5" s="1"/>
      <c r="E5" s="3"/>
      <c r="F5" s="3"/>
      <c r="G5" s="3"/>
      <c r="H5" s="3"/>
      <c r="K5" s="3"/>
      <c r="L5" s="3"/>
      <c r="O5" s="11"/>
      <c r="P5" s="3"/>
      <c r="Q5" s="9"/>
    </row>
    <row r="6" spans="1:17" x14ac:dyDescent="0.25">
      <c r="B6" s="1"/>
      <c r="E6" s="3"/>
      <c r="F6" s="3"/>
      <c r="G6" s="3"/>
      <c r="H6" s="3"/>
      <c r="K6" s="3"/>
      <c r="L6" s="3"/>
      <c r="O6" s="11"/>
      <c r="P6" s="3"/>
      <c r="Q6" s="9"/>
    </row>
    <row r="7" spans="1:17" x14ac:dyDescent="0.25">
      <c r="B7" s="1"/>
      <c r="E7" s="3"/>
      <c r="F7" s="3"/>
      <c r="G7" s="3"/>
      <c r="H7" s="3"/>
      <c r="K7" s="3"/>
      <c r="L7" s="3"/>
      <c r="O7" s="11"/>
      <c r="P7" s="3"/>
      <c r="Q7" s="9"/>
    </row>
    <row r="8" spans="1:17" x14ac:dyDescent="0.25">
      <c r="B8" s="1"/>
      <c r="E8" s="3"/>
      <c r="F8" s="3"/>
      <c r="G8" s="3"/>
      <c r="H8" s="3"/>
      <c r="K8" s="3"/>
      <c r="L8" s="3"/>
      <c r="O8" s="11"/>
      <c r="P8" s="3"/>
      <c r="Q8" s="9"/>
    </row>
    <row r="9" spans="1:17" x14ac:dyDescent="0.25">
      <c r="B9" s="1"/>
      <c r="E9" s="3"/>
      <c r="F9" s="3"/>
      <c r="G9" s="3"/>
      <c r="H9" s="3"/>
      <c r="K9" s="3"/>
      <c r="L9" s="3"/>
      <c r="O9" s="11"/>
      <c r="P9" s="3"/>
      <c r="Q9" s="9"/>
    </row>
    <row r="10" spans="1:17" x14ac:dyDescent="0.25">
      <c r="B10" s="1"/>
      <c r="E10" s="3"/>
      <c r="F10" s="3"/>
      <c r="G10" s="3"/>
      <c r="H10" s="3"/>
      <c r="K10" s="3"/>
      <c r="L10" s="3"/>
      <c r="O10" s="11"/>
      <c r="P10" s="3"/>
      <c r="Q10" s="9"/>
    </row>
    <row r="11" spans="1:17" x14ac:dyDescent="0.25">
      <c r="B11" s="1"/>
      <c r="E11" s="3"/>
      <c r="F11" s="3"/>
      <c r="G11" s="3"/>
      <c r="H11" s="3"/>
      <c r="K11" s="3"/>
      <c r="L11" s="3"/>
      <c r="O11" s="11"/>
      <c r="P11" s="3"/>
      <c r="Q11" s="9"/>
    </row>
    <row r="12" spans="1:17" x14ac:dyDescent="0.25">
      <c r="B12" s="1"/>
      <c r="E12" s="3"/>
      <c r="F12" s="3"/>
      <c r="G12" s="3"/>
      <c r="H12" s="3"/>
      <c r="K12" s="3"/>
      <c r="L12" s="3"/>
      <c r="O12" s="11"/>
      <c r="P12" s="3"/>
      <c r="Q12" s="9"/>
    </row>
    <row r="13" spans="1:17" x14ac:dyDescent="0.25">
      <c r="B13" s="1"/>
      <c r="E13" s="3"/>
      <c r="F13" s="3"/>
      <c r="G13" s="3"/>
      <c r="H13" s="3"/>
      <c r="K13" s="3"/>
      <c r="L13" s="3"/>
      <c r="O13" s="11"/>
      <c r="P13" s="3"/>
      <c r="Q13" s="9"/>
    </row>
    <row r="14" spans="1:17" x14ac:dyDescent="0.25">
      <c r="B14" s="1"/>
      <c r="E14" s="3"/>
      <c r="F14" s="3"/>
      <c r="G14" s="3"/>
      <c r="H14" s="3"/>
      <c r="K14" s="3"/>
      <c r="L14" s="3"/>
      <c r="O14" s="11"/>
      <c r="P14" s="3"/>
      <c r="Q14" s="9"/>
    </row>
    <row r="15" spans="1:17" x14ac:dyDescent="0.25">
      <c r="B15" s="1"/>
      <c r="E15" s="3"/>
      <c r="F15" s="3"/>
      <c r="G15" s="3"/>
      <c r="H15" s="3"/>
      <c r="K15" s="3"/>
      <c r="L15" s="3"/>
      <c r="O15" s="11"/>
      <c r="P15" s="3"/>
      <c r="Q15" s="9"/>
    </row>
    <row r="16" spans="1:17" x14ac:dyDescent="0.25">
      <c r="B16" s="1"/>
      <c r="E16" s="3"/>
      <c r="F16" s="3"/>
      <c r="G16" s="3"/>
      <c r="H16" s="3"/>
      <c r="K16" s="3"/>
      <c r="L16" s="3"/>
      <c r="O16" s="11"/>
      <c r="P16" s="3"/>
      <c r="Q16" s="9"/>
    </row>
    <row r="17" spans="2:17" x14ac:dyDescent="0.25">
      <c r="B17" s="1"/>
      <c r="E17" s="3"/>
      <c r="F17" s="3"/>
      <c r="G17" s="3"/>
      <c r="H17" s="3"/>
      <c r="K17" s="3"/>
      <c r="L17" s="3"/>
      <c r="O17" s="11"/>
      <c r="P17" s="3"/>
      <c r="Q17" s="9"/>
    </row>
    <row r="18" spans="2:17" x14ac:dyDescent="0.25">
      <c r="B18" s="1"/>
      <c r="E18" s="3"/>
      <c r="F18" s="3"/>
      <c r="G18" s="3"/>
      <c r="H18" s="3"/>
      <c r="K18" s="3"/>
      <c r="L18" s="3"/>
      <c r="O18" s="11"/>
      <c r="P18" s="3"/>
      <c r="Q18" s="9"/>
    </row>
    <row r="19" spans="2:17" x14ac:dyDescent="0.25">
      <c r="B19" s="1"/>
      <c r="E19" s="3"/>
      <c r="F19" s="3"/>
      <c r="G19" s="3"/>
      <c r="H19" s="3"/>
      <c r="K19" s="3"/>
      <c r="L19" s="3"/>
      <c r="O19" s="11"/>
      <c r="P19" s="3"/>
      <c r="Q19" s="9"/>
    </row>
    <row r="20" spans="2:17" x14ac:dyDescent="0.25">
      <c r="B20" s="1"/>
      <c r="E20" s="3"/>
      <c r="F20" s="3"/>
      <c r="G20" s="3"/>
      <c r="H20" s="3"/>
      <c r="K20" s="3"/>
      <c r="L20" s="3"/>
      <c r="O20" s="11"/>
      <c r="P20" s="3"/>
      <c r="Q20" s="9"/>
    </row>
    <row r="21" spans="2:17" x14ac:dyDescent="0.25">
      <c r="B21" s="1"/>
      <c r="E21" s="3"/>
      <c r="F21" s="3"/>
      <c r="G21" s="3"/>
      <c r="H21" s="3"/>
      <c r="K21" s="3"/>
      <c r="L21" s="3"/>
      <c r="O21" s="11"/>
      <c r="P21" s="3"/>
      <c r="Q21" s="9"/>
    </row>
    <row r="22" spans="2:17" x14ac:dyDescent="0.25">
      <c r="B22" s="1"/>
      <c r="E22" s="3"/>
      <c r="F22" s="3"/>
      <c r="G22" s="3"/>
      <c r="H22" s="3"/>
      <c r="K22" s="3"/>
      <c r="L22" s="3"/>
      <c r="O22" s="11"/>
      <c r="P22" s="3"/>
      <c r="Q22" s="9"/>
    </row>
    <row r="23" spans="2:17" x14ac:dyDescent="0.25">
      <c r="B23" s="1"/>
      <c r="E23" s="3"/>
      <c r="F23" s="3"/>
      <c r="G23" s="3"/>
      <c r="H23" s="3"/>
      <c r="K23" s="3"/>
      <c r="L23" s="3"/>
      <c r="O23" s="11"/>
      <c r="P23" s="3"/>
      <c r="Q23" s="9"/>
    </row>
    <row r="24" spans="2:17" x14ac:dyDescent="0.25">
      <c r="B24" s="1"/>
      <c r="E24" s="3"/>
      <c r="F24" s="3"/>
      <c r="G24" s="3"/>
      <c r="H24" s="3"/>
      <c r="K24" s="3"/>
      <c r="L24" s="3"/>
      <c r="O24" s="11"/>
      <c r="P24" s="3"/>
      <c r="Q24" s="9"/>
    </row>
    <row r="25" spans="2:17" x14ac:dyDescent="0.25">
      <c r="B25" s="1"/>
      <c r="E25" s="3"/>
      <c r="F25" s="3"/>
      <c r="G25" s="3"/>
      <c r="H25" s="3"/>
      <c r="K25" s="3"/>
      <c r="L25" s="3"/>
      <c r="O25" s="11"/>
      <c r="P25" s="3"/>
      <c r="Q25" s="9"/>
    </row>
    <row r="26" spans="2:17" x14ac:dyDescent="0.25">
      <c r="B26" s="1"/>
      <c r="E26" s="3"/>
      <c r="F26" s="3"/>
      <c r="G26" s="3"/>
      <c r="H26" s="3"/>
      <c r="K26" s="3"/>
      <c r="L26" s="3"/>
      <c r="O26" s="11"/>
      <c r="P26" s="3"/>
      <c r="Q26" s="9"/>
    </row>
    <row r="27" spans="2:17" x14ac:dyDescent="0.25">
      <c r="B27" s="1"/>
      <c r="E27" s="3"/>
      <c r="F27" s="3"/>
      <c r="G27" s="3"/>
      <c r="H27" s="3"/>
      <c r="K27" s="3"/>
      <c r="L27" s="3"/>
      <c r="O27" s="11"/>
      <c r="P27" s="3"/>
      <c r="Q27" s="9"/>
    </row>
    <row r="28" spans="2:17" x14ac:dyDescent="0.25">
      <c r="B28" s="1"/>
      <c r="E28" s="3"/>
      <c r="F28" s="3"/>
      <c r="G28" s="3"/>
      <c r="H28" s="3"/>
      <c r="K28" s="3"/>
      <c r="L28" s="3"/>
      <c r="O28" s="11"/>
      <c r="P28" s="3"/>
      <c r="Q28" s="9"/>
    </row>
    <row r="29" spans="2:17" x14ac:dyDescent="0.25">
      <c r="B29" s="1"/>
      <c r="E29" s="3"/>
      <c r="F29" s="3"/>
      <c r="G29" s="3"/>
      <c r="H29" s="3"/>
      <c r="K29" s="3"/>
      <c r="L29" s="3"/>
      <c r="O29" s="11"/>
      <c r="P29" s="3"/>
      <c r="Q29" s="9"/>
    </row>
    <row r="30" spans="2:17" x14ac:dyDescent="0.25">
      <c r="B30" s="1"/>
      <c r="E30" s="3"/>
      <c r="F30" s="3"/>
      <c r="G30" s="3"/>
      <c r="H30" s="3"/>
      <c r="K30" s="3"/>
      <c r="L30" s="3"/>
      <c r="O30" s="11"/>
      <c r="P30" s="3"/>
      <c r="Q30" s="9"/>
    </row>
    <row r="31" spans="2:17" x14ac:dyDescent="0.25">
      <c r="B31" s="1"/>
      <c r="E31" s="3"/>
      <c r="F31" s="3"/>
      <c r="G31" s="3"/>
      <c r="H31" s="3"/>
      <c r="K31" s="3"/>
      <c r="L31" s="3"/>
      <c r="O31" s="11"/>
      <c r="P31" s="3"/>
      <c r="Q31" s="9"/>
    </row>
    <row r="32" spans="2:17" x14ac:dyDescent="0.25">
      <c r="B32" s="1"/>
      <c r="E32" s="3"/>
      <c r="F32" s="3"/>
      <c r="G32" s="3"/>
      <c r="H32" s="3"/>
      <c r="K32" s="3"/>
      <c r="L32" s="3"/>
      <c r="O32" s="11"/>
      <c r="P32" s="3"/>
      <c r="Q32" s="9"/>
    </row>
    <row r="33" spans="2:17" x14ac:dyDescent="0.25">
      <c r="B33" s="1"/>
      <c r="E33" s="3"/>
      <c r="F33" s="3"/>
      <c r="G33" s="3"/>
      <c r="H33" s="3"/>
      <c r="K33" s="3"/>
      <c r="L33" s="3"/>
      <c r="O33" s="11"/>
      <c r="P33" s="3"/>
      <c r="Q33" s="9"/>
    </row>
    <row r="34" spans="2:17" x14ac:dyDescent="0.25">
      <c r="B34" s="1"/>
      <c r="E34" s="3"/>
      <c r="F34" s="3"/>
      <c r="G34" s="3"/>
      <c r="H34" s="3"/>
      <c r="K34" s="3"/>
      <c r="L34" s="3"/>
      <c r="O34" s="11"/>
      <c r="P34" s="3"/>
      <c r="Q34" s="9"/>
    </row>
    <row r="35" spans="2:17" x14ac:dyDescent="0.25">
      <c r="B35" s="1"/>
      <c r="E35" s="3"/>
      <c r="F35" s="3"/>
      <c r="G35" s="3"/>
      <c r="H35" s="3"/>
      <c r="K35" s="3"/>
      <c r="L35" s="3"/>
      <c r="O35" s="11"/>
      <c r="P35" s="3"/>
      <c r="Q35" s="9"/>
    </row>
    <row r="36" spans="2:17" x14ac:dyDescent="0.25">
      <c r="B36" s="1"/>
      <c r="E36" s="3"/>
      <c r="F36" s="3"/>
      <c r="G36" s="3"/>
      <c r="H36" s="3"/>
      <c r="K36" s="3"/>
      <c r="L36" s="3"/>
      <c r="O36" s="11"/>
      <c r="P36" s="3"/>
      <c r="Q36" s="9"/>
    </row>
    <row r="37" spans="2:17" x14ac:dyDescent="0.25">
      <c r="B37" s="1"/>
      <c r="E37" s="3"/>
      <c r="F37" s="3"/>
      <c r="G37" s="3"/>
      <c r="H37" s="3"/>
      <c r="K37" s="3"/>
      <c r="L37" s="3"/>
      <c r="O37" s="11"/>
      <c r="P37" s="3"/>
      <c r="Q37" s="9"/>
    </row>
    <row r="38" spans="2:17" x14ac:dyDescent="0.25">
      <c r="B38" s="1"/>
      <c r="E38" s="3"/>
      <c r="F38" s="3"/>
      <c r="G38" s="3"/>
      <c r="H38" s="3"/>
      <c r="K38" s="3"/>
      <c r="L38" s="3"/>
      <c r="O38" s="11"/>
      <c r="P38" s="3"/>
      <c r="Q38" s="9"/>
    </row>
    <row r="39" spans="2:17" x14ac:dyDescent="0.25">
      <c r="B39" s="1"/>
      <c r="E39" s="3"/>
      <c r="F39" s="3"/>
      <c r="G39" s="3"/>
      <c r="H39" s="3"/>
      <c r="K39" s="3"/>
      <c r="L39" s="3"/>
      <c r="O39" s="11"/>
      <c r="P39" s="3"/>
      <c r="Q39" s="9"/>
    </row>
    <row r="40" spans="2:17" x14ac:dyDescent="0.25">
      <c r="B40" s="1"/>
      <c r="E40" s="3"/>
      <c r="F40" s="3"/>
      <c r="G40" s="3"/>
      <c r="H40" s="3"/>
      <c r="K40" s="3"/>
      <c r="L40" s="3"/>
      <c r="O40" s="11"/>
      <c r="P40" s="3"/>
      <c r="Q40" s="9"/>
    </row>
    <row r="41" spans="2:17" x14ac:dyDescent="0.25">
      <c r="B41" s="1"/>
      <c r="E41" s="3"/>
      <c r="F41" s="3"/>
      <c r="G41" s="3"/>
      <c r="H41" s="3"/>
      <c r="K41" s="3"/>
      <c r="L41" s="3"/>
      <c r="O41" s="11"/>
      <c r="P41" s="3"/>
      <c r="Q41" s="9"/>
    </row>
    <row r="42" spans="2:17" x14ac:dyDescent="0.25">
      <c r="B42" s="1"/>
      <c r="E42" s="3"/>
      <c r="F42" s="3"/>
      <c r="G42" s="3"/>
      <c r="H42" s="3"/>
      <c r="K42" s="3"/>
      <c r="L42" s="3"/>
      <c r="O42" s="11"/>
      <c r="P42" s="3"/>
      <c r="Q42" s="9"/>
    </row>
    <row r="43" spans="2:17" x14ac:dyDescent="0.25">
      <c r="B43" s="1"/>
      <c r="E43" s="3"/>
      <c r="F43" s="3"/>
      <c r="G43" s="3"/>
      <c r="H43" s="3"/>
      <c r="K43" s="3"/>
      <c r="L43" s="3"/>
      <c r="O43" s="11"/>
      <c r="P43" s="3"/>
      <c r="Q43" s="9"/>
    </row>
    <row r="44" spans="2:17" x14ac:dyDescent="0.25">
      <c r="B44" s="1"/>
      <c r="E44" s="3"/>
      <c r="F44" s="3"/>
      <c r="G44" s="3"/>
      <c r="H44" s="3"/>
      <c r="K44" s="3"/>
      <c r="L44" s="3"/>
      <c r="O44" s="11"/>
      <c r="P44" s="3"/>
      <c r="Q44" s="9"/>
    </row>
    <row r="45" spans="2:17" x14ac:dyDescent="0.25">
      <c r="B45" s="1"/>
      <c r="E45" s="3"/>
      <c r="F45" s="3"/>
      <c r="G45" s="3"/>
      <c r="H45" s="3"/>
      <c r="K45" s="3"/>
      <c r="L45" s="3"/>
      <c r="O45" s="11"/>
      <c r="P45" s="3"/>
      <c r="Q45" s="9"/>
    </row>
    <row r="46" spans="2:17" x14ac:dyDescent="0.25">
      <c r="B46" s="1"/>
      <c r="E46" s="3"/>
      <c r="F46" s="3"/>
      <c r="G46" s="3"/>
      <c r="H46" s="3"/>
      <c r="K46" s="3"/>
      <c r="L46" s="3"/>
      <c r="O46" s="11"/>
      <c r="P46" s="3"/>
      <c r="Q46" s="9"/>
    </row>
    <row r="47" spans="2:17" x14ac:dyDescent="0.25">
      <c r="B47" s="1"/>
      <c r="E47" s="3"/>
      <c r="F47" s="3"/>
      <c r="G47" s="3"/>
      <c r="H47" s="3"/>
      <c r="K47" s="3"/>
      <c r="L47" s="3"/>
      <c r="O47" s="11"/>
      <c r="P47" s="3"/>
      <c r="Q47" s="9"/>
    </row>
    <row r="48" spans="2:17" x14ac:dyDescent="0.25">
      <c r="B48" s="1"/>
      <c r="E48" s="3"/>
      <c r="F48" s="3"/>
      <c r="G48" s="3"/>
      <c r="H48" s="3"/>
      <c r="K48" s="3"/>
      <c r="L48" s="3"/>
      <c r="O48" s="11"/>
      <c r="P48" s="3"/>
      <c r="Q48" s="9"/>
    </row>
    <row r="49" spans="2:17" x14ac:dyDescent="0.25">
      <c r="B49" s="1"/>
      <c r="E49" s="3"/>
      <c r="F49" s="3"/>
      <c r="G49" s="3"/>
      <c r="H49" s="3"/>
      <c r="K49" s="3"/>
      <c r="L49" s="3"/>
      <c r="O49" s="11"/>
      <c r="P49" s="3"/>
      <c r="Q49" s="9"/>
    </row>
    <row r="50" spans="2:17" x14ac:dyDescent="0.25">
      <c r="B50" s="1"/>
      <c r="E50" s="3"/>
      <c r="F50" s="3"/>
      <c r="G50" s="3"/>
      <c r="H50" s="3"/>
      <c r="K50" s="3"/>
      <c r="L50" s="3"/>
      <c r="O50" s="11"/>
      <c r="P50" s="3"/>
      <c r="Q50" s="9"/>
    </row>
    <row r="51" spans="2:17" x14ac:dyDescent="0.25">
      <c r="B51" s="1"/>
      <c r="E51" s="3"/>
      <c r="F51" s="3"/>
      <c r="G51" s="3"/>
      <c r="H51" s="3"/>
      <c r="K51" s="3"/>
      <c r="L51" s="3"/>
      <c r="O51" s="11"/>
      <c r="P51" s="3"/>
      <c r="Q51" s="9"/>
    </row>
    <row r="52" spans="2:17" x14ac:dyDescent="0.25">
      <c r="B52" s="1"/>
      <c r="E52" s="3"/>
      <c r="F52" s="3"/>
      <c r="G52" s="3"/>
      <c r="H52" s="3"/>
      <c r="K52" s="3"/>
      <c r="L52" s="3"/>
      <c r="O52" s="11"/>
      <c r="P52" s="3"/>
      <c r="Q52" s="9"/>
    </row>
    <row r="53" spans="2:17" x14ac:dyDescent="0.25">
      <c r="B53" s="1"/>
      <c r="E53" s="3"/>
      <c r="F53" s="3"/>
      <c r="G53" s="3"/>
      <c r="H53" s="3"/>
      <c r="K53" s="3"/>
      <c r="L53" s="3"/>
      <c r="O53" s="11"/>
      <c r="P53" s="3"/>
      <c r="Q53" s="9"/>
    </row>
    <row r="54" spans="2:17" x14ac:dyDescent="0.25">
      <c r="B54" s="1"/>
      <c r="E54" s="3"/>
      <c r="F54" s="3"/>
      <c r="G54" s="3"/>
      <c r="H54" s="3"/>
      <c r="K54" s="3"/>
      <c r="L54" s="3"/>
      <c r="O54" s="11"/>
      <c r="P54" s="3"/>
      <c r="Q54" s="9"/>
    </row>
    <row r="55" spans="2:17" x14ac:dyDescent="0.25">
      <c r="B55" s="1"/>
      <c r="E55" s="3"/>
      <c r="F55" s="3"/>
      <c r="G55" s="3"/>
      <c r="H55" s="3"/>
      <c r="K55" s="3"/>
      <c r="L55" s="3"/>
      <c r="O55" s="11"/>
      <c r="P55" s="3"/>
      <c r="Q55" s="9"/>
    </row>
    <row r="56" spans="2:17" x14ac:dyDescent="0.25">
      <c r="B56" s="1"/>
      <c r="E56" s="3"/>
      <c r="F56" s="3"/>
      <c r="G56" s="3"/>
      <c r="H56" s="3"/>
      <c r="K56" s="3"/>
      <c r="L56" s="3"/>
      <c r="O56" s="11"/>
      <c r="P56" s="3"/>
      <c r="Q56" s="9"/>
    </row>
    <row r="57" spans="2:17" x14ac:dyDescent="0.25">
      <c r="B57" s="1"/>
      <c r="E57" s="3"/>
      <c r="F57" s="3"/>
      <c r="G57" s="3"/>
      <c r="H57" s="3"/>
      <c r="K57" s="3"/>
      <c r="L57" s="3"/>
      <c r="O57" s="11"/>
      <c r="P57" s="3"/>
      <c r="Q57" s="9"/>
    </row>
    <row r="58" spans="2:17" x14ac:dyDescent="0.25">
      <c r="B58" s="1"/>
      <c r="E58" s="3"/>
      <c r="F58" s="3"/>
      <c r="G58" s="3"/>
      <c r="H58" s="3"/>
      <c r="K58" s="3"/>
      <c r="L58" s="3"/>
      <c r="O58" s="11"/>
      <c r="P58" s="3"/>
      <c r="Q58" s="9"/>
    </row>
    <row r="59" spans="2:17" x14ac:dyDescent="0.25">
      <c r="B59" s="1"/>
      <c r="E59" s="3"/>
      <c r="F59" s="3"/>
      <c r="G59" s="3"/>
      <c r="H59" s="3"/>
      <c r="K59" s="3"/>
      <c r="L59" s="3"/>
      <c r="O59" s="11"/>
      <c r="P59" s="3"/>
      <c r="Q59" s="9"/>
    </row>
    <row r="60" spans="2:17" x14ac:dyDescent="0.25">
      <c r="B60" s="1"/>
      <c r="E60" s="3"/>
      <c r="F60" s="3"/>
      <c r="G60" s="3"/>
      <c r="H60" s="3"/>
      <c r="K60" s="3"/>
      <c r="L60" s="3"/>
      <c r="O60" s="11"/>
      <c r="P60" s="3"/>
      <c r="Q60" s="9"/>
    </row>
    <row r="61" spans="2:17" x14ac:dyDescent="0.25">
      <c r="B61" s="1"/>
      <c r="E61" s="3"/>
      <c r="F61" s="3"/>
      <c r="G61" s="3"/>
      <c r="H61" s="3"/>
      <c r="K61" s="3"/>
      <c r="L61" s="3"/>
      <c r="O61" s="11"/>
      <c r="P61" s="3"/>
      <c r="Q61" s="9"/>
    </row>
    <row r="62" spans="2:17" x14ac:dyDescent="0.25">
      <c r="B62" s="1"/>
      <c r="E62" s="3"/>
      <c r="F62" s="3"/>
      <c r="G62" s="3"/>
      <c r="H62" s="3"/>
      <c r="K62" s="3"/>
      <c r="L62" s="3"/>
      <c r="O62" s="11"/>
      <c r="P62" s="3"/>
      <c r="Q62" s="9"/>
    </row>
    <row r="63" spans="2:17" x14ac:dyDescent="0.25">
      <c r="B63" s="1"/>
      <c r="E63" s="3"/>
      <c r="F63" s="3"/>
      <c r="G63" s="3"/>
      <c r="H63" s="3"/>
      <c r="K63" s="3"/>
      <c r="L63" s="3"/>
      <c r="O63" s="11"/>
      <c r="P63" s="3"/>
      <c r="Q63" s="9"/>
    </row>
    <row r="64" spans="2:17" x14ac:dyDescent="0.25">
      <c r="B64" s="1"/>
      <c r="E64" s="3"/>
      <c r="F64" s="3"/>
      <c r="G64" s="3"/>
      <c r="H64" s="3"/>
      <c r="K64" s="3"/>
      <c r="L64" s="3"/>
      <c r="O64" s="11"/>
      <c r="P64" s="3"/>
      <c r="Q64" s="9"/>
    </row>
    <row r="65" spans="2:17" x14ac:dyDescent="0.25">
      <c r="B65" s="1"/>
      <c r="E65" s="3"/>
      <c r="F65" s="3"/>
      <c r="G65" s="3"/>
      <c r="H65" s="3"/>
      <c r="K65" s="3"/>
      <c r="L65" s="3"/>
      <c r="O65" s="11"/>
      <c r="P65" s="3"/>
      <c r="Q65" s="9"/>
    </row>
    <row r="66" spans="2:17" x14ac:dyDescent="0.25">
      <c r="B66" s="1"/>
      <c r="E66" s="3"/>
      <c r="F66" s="3"/>
      <c r="G66" s="3"/>
      <c r="H66" s="3"/>
      <c r="K66" s="3"/>
      <c r="L66" s="3"/>
      <c r="O66" s="11"/>
      <c r="P66" s="3"/>
      <c r="Q66" s="9"/>
    </row>
    <row r="67" spans="2:17" x14ac:dyDescent="0.25">
      <c r="B67" s="1"/>
      <c r="E67" s="3"/>
      <c r="F67" s="3"/>
      <c r="G67" s="3"/>
      <c r="H67" s="3"/>
      <c r="K67" s="3"/>
      <c r="L67" s="3"/>
      <c r="O67" s="11"/>
      <c r="P67" s="3"/>
      <c r="Q67" s="9"/>
    </row>
    <row r="68" spans="2:17" x14ac:dyDescent="0.25">
      <c r="B68" s="1"/>
      <c r="E68" s="3"/>
      <c r="F68" s="3"/>
      <c r="G68" s="3"/>
      <c r="H68" s="3"/>
      <c r="K68" s="3"/>
      <c r="L68" s="3"/>
      <c r="O68" s="11"/>
      <c r="P68" s="3"/>
      <c r="Q68" s="9"/>
    </row>
    <row r="69" spans="2:17" x14ac:dyDescent="0.25">
      <c r="B69" s="1"/>
      <c r="E69" s="3"/>
      <c r="F69" s="3"/>
      <c r="G69" s="3"/>
      <c r="H69" s="3"/>
      <c r="K69" s="3"/>
      <c r="L69" s="3"/>
      <c r="O69" s="11"/>
      <c r="P69" s="3"/>
      <c r="Q69" s="9"/>
    </row>
    <row r="70" spans="2:17" x14ac:dyDescent="0.25">
      <c r="B70" s="1"/>
      <c r="E70" s="3"/>
      <c r="F70" s="3"/>
      <c r="G70" s="3"/>
      <c r="H70" s="3"/>
      <c r="K70" s="3"/>
      <c r="L70" s="3"/>
      <c r="O70" s="11"/>
      <c r="P70" s="3"/>
      <c r="Q70" s="9"/>
    </row>
    <row r="71" spans="2:17" x14ac:dyDescent="0.25">
      <c r="B71" s="1"/>
      <c r="E71" s="3"/>
      <c r="F71" s="3"/>
      <c r="G71" s="3"/>
      <c r="H71" s="3"/>
      <c r="K71" s="3"/>
      <c r="L71" s="3"/>
      <c r="O71" s="11"/>
      <c r="P71" s="3"/>
      <c r="Q71" s="9"/>
    </row>
    <row r="72" spans="2:17" x14ac:dyDescent="0.25">
      <c r="B72" s="1"/>
      <c r="E72" s="3"/>
      <c r="F72" s="3"/>
      <c r="G72" s="3"/>
      <c r="H72" s="3"/>
      <c r="K72" s="3"/>
      <c r="L72" s="3"/>
      <c r="O72" s="11"/>
      <c r="P72" s="3"/>
      <c r="Q72" s="9"/>
    </row>
    <row r="73" spans="2:17" x14ac:dyDescent="0.25">
      <c r="B73" s="1"/>
      <c r="E73" s="3"/>
      <c r="F73" s="3"/>
      <c r="G73" s="3"/>
      <c r="H73" s="3"/>
      <c r="K73" s="3"/>
      <c r="L73" s="3"/>
      <c r="O73" s="11"/>
      <c r="P73" s="3"/>
      <c r="Q73" s="9"/>
    </row>
    <row r="74" spans="2:17" x14ac:dyDescent="0.25">
      <c r="B74" s="1"/>
      <c r="E74" s="3"/>
      <c r="F74" s="3"/>
      <c r="G74" s="3"/>
      <c r="H74" s="3"/>
      <c r="K74" s="3"/>
      <c r="L74" s="3"/>
      <c r="O74" s="11"/>
      <c r="P74" s="3"/>
      <c r="Q74" s="9"/>
    </row>
    <row r="75" spans="2:17" x14ac:dyDescent="0.25">
      <c r="B75" s="1"/>
      <c r="E75" s="3"/>
      <c r="F75" s="3"/>
      <c r="G75" s="3"/>
      <c r="H75" s="3"/>
      <c r="K75" s="3"/>
      <c r="L75" s="3"/>
      <c r="O75" s="11"/>
      <c r="P75" s="3"/>
      <c r="Q75" s="9"/>
    </row>
    <row r="76" spans="2:17" x14ac:dyDescent="0.25">
      <c r="B76" s="1"/>
      <c r="E76" s="3"/>
      <c r="F76" s="3"/>
      <c r="G76" s="3"/>
      <c r="H76" s="3"/>
      <c r="K76" s="3"/>
      <c r="L76" s="3"/>
      <c r="O76" s="11"/>
      <c r="P76" s="3"/>
      <c r="Q76" s="9"/>
    </row>
    <row r="77" spans="2:17" x14ac:dyDescent="0.25">
      <c r="B77" s="1"/>
      <c r="E77" s="3"/>
      <c r="F77" s="3"/>
      <c r="G77" s="3"/>
      <c r="H77" s="3"/>
      <c r="K77" s="3"/>
      <c r="L77" s="3"/>
      <c r="O77" s="11"/>
      <c r="P77" s="3"/>
      <c r="Q77" s="9"/>
    </row>
    <row r="78" spans="2:17" x14ac:dyDescent="0.25">
      <c r="B78" s="1"/>
      <c r="E78" s="3"/>
      <c r="F78" s="3"/>
      <c r="G78" s="3"/>
      <c r="H78" s="3"/>
      <c r="K78" s="3"/>
      <c r="L78" s="3"/>
      <c r="O78" s="11"/>
      <c r="P78" s="3"/>
      <c r="Q78" s="9"/>
    </row>
    <row r="79" spans="2:17" x14ac:dyDescent="0.25">
      <c r="B79" s="1"/>
      <c r="E79" s="3"/>
      <c r="F79" s="3"/>
      <c r="G79" s="3"/>
      <c r="H79" s="3"/>
      <c r="K79" s="3"/>
      <c r="L79" s="3"/>
      <c r="O79" s="11"/>
      <c r="P79" s="3"/>
      <c r="Q79" s="9"/>
    </row>
    <row r="80" spans="2:17" x14ac:dyDescent="0.25">
      <c r="B80" s="1"/>
      <c r="E80" s="3"/>
      <c r="F80" s="3"/>
      <c r="G80" s="3"/>
      <c r="H80" s="3"/>
      <c r="K80" s="3"/>
      <c r="L80" s="3"/>
      <c r="O80" s="11"/>
      <c r="P80" s="3"/>
      <c r="Q80" s="9"/>
    </row>
    <row r="81" spans="2:17" x14ac:dyDescent="0.25">
      <c r="B81" s="1"/>
      <c r="E81" s="3"/>
      <c r="F81" s="3"/>
      <c r="G81" s="3"/>
      <c r="H81" s="3"/>
      <c r="K81" s="3"/>
      <c r="L81" s="3"/>
      <c r="O81" s="11"/>
      <c r="P81" s="3"/>
      <c r="Q81" s="9"/>
    </row>
    <row r="82" spans="2:17" x14ac:dyDescent="0.25">
      <c r="B82" s="1"/>
      <c r="E82" s="3"/>
      <c r="F82" s="3"/>
      <c r="G82" s="3"/>
      <c r="H82" s="3"/>
      <c r="K82" s="3"/>
      <c r="L82" s="3"/>
      <c r="O82" s="11"/>
      <c r="P82" s="3"/>
      <c r="Q82" s="9"/>
    </row>
    <row r="83" spans="2:17" x14ac:dyDescent="0.25">
      <c r="B83" s="1"/>
      <c r="E83" s="3"/>
      <c r="F83" s="3"/>
      <c r="G83" s="3"/>
      <c r="H83" s="3"/>
      <c r="K83" s="3"/>
      <c r="L83" s="3"/>
      <c r="O83" s="11"/>
      <c r="P83" s="3"/>
      <c r="Q83" s="9"/>
    </row>
    <row r="84" spans="2:17" x14ac:dyDescent="0.25">
      <c r="B84" s="1"/>
      <c r="E84" s="3"/>
      <c r="F84" s="3"/>
      <c r="G84" s="3"/>
      <c r="H84" s="3"/>
      <c r="K84" s="3"/>
      <c r="L84" s="3"/>
      <c r="O84" s="11"/>
      <c r="P84" s="3"/>
      <c r="Q84" s="9"/>
    </row>
    <row r="85" spans="2:17" x14ac:dyDescent="0.25">
      <c r="B85" s="1"/>
      <c r="E85" s="3"/>
      <c r="F85" s="3"/>
      <c r="G85" s="3"/>
      <c r="H85" s="3"/>
      <c r="K85" s="3"/>
      <c r="L85" s="3"/>
      <c r="O85" s="11"/>
      <c r="P85" s="3"/>
      <c r="Q85" s="9"/>
    </row>
    <row r="86" spans="2:17" x14ac:dyDescent="0.25">
      <c r="B86" s="1"/>
      <c r="E86" s="3"/>
      <c r="F86" s="3"/>
      <c r="G86" s="3"/>
      <c r="H86" s="3"/>
      <c r="K86" s="3"/>
      <c r="L86" s="3"/>
      <c r="O86" s="11"/>
      <c r="P86" s="3"/>
      <c r="Q86" s="9"/>
    </row>
    <row r="87" spans="2:17" x14ac:dyDescent="0.25">
      <c r="B87" s="1"/>
      <c r="E87" s="3"/>
      <c r="F87" s="3"/>
      <c r="G87" s="3"/>
      <c r="H87" s="3"/>
      <c r="K87" s="3"/>
      <c r="L87" s="3"/>
      <c r="O87" s="11"/>
      <c r="P87" s="3"/>
      <c r="Q87" s="9"/>
    </row>
    <row r="88" spans="2:17" x14ac:dyDescent="0.25">
      <c r="B88" s="1"/>
      <c r="E88" s="3"/>
      <c r="F88" s="3"/>
      <c r="G88" s="3"/>
      <c r="H88" s="3"/>
      <c r="K88" s="3"/>
      <c r="L88" s="3"/>
      <c r="O88" s="11"/>
      <c r="P88" s="3"/>
      <c r="Q88" s="9"/>
    </row>
    <row r="89" spans="2:17" x14ac:dyDescent="0.25">
      <c r="B89" s="1"/>
      <c r="E89" s="3"/>
      <c r="F89" s="3"/>
      <c r="G89" s="3"/>
      <c r="H89" s="3"/>
      <c r="K89" s="3"/>
      <c r="L89" s="3"/>
      <c r="O89" s="11"/>
      <c r="P89" s="3"/>
      <c r="Q89" s="9"/>
    </row>
    <row r="90" spans="2:17" x14ac:dyDescent="0.25">
      <c r="B90" s="1"/>
      <c r="E90" s="3"/>
      <c r="F90" s="3"/>
      <c r="G90" s="3"/>
      <c r="H90" s="3"/>
      <c r="K90" s="3"/>
      <c r="L90" s="3"/>
      <c r="O90" s="11"/>
      <c r="P90" s="3"/>
      <c r="Q90" s="9"/>
    </row>
    <row r="91" spans="2:17" x14ac:dyDescent="0.25">
      <c r="B91" s="1"/>
      <c r="E91" s="3"/>
      <c r="F91" s="3"/>
      <c r="G91" s="3"/>
      <c r="H91" s="3"/>
      <c r="K91" s="3"/>
      <c r="L91" s="3"/>
      <c r="O91" s="11"/>
      <c r="P91" s="3"/>
      <c r="Q91" s="9"/>
    </row>
    <row r="92" spans="2:17" x14ac:dyDescent="0.25">
      <c r="B92" s="1"/>
      <c r="E92" s="3"/>
      <c r="F92" s="3"/>
      <c r="G92" s="3"/>
      <c r="H92" s="3"/>
      <c r="K92" s="3"/>
      <c r="L92" s="3"/>
      <c r="O92" s="11"/>
      <c r="P92" s="3"/>
      <c r="Q92" s="9"/>
    </row>
    <row r="93" spans="2:17" x14ac:dyDescent="0.25">
      <c r="B93" s="1"/>
      <c r="E93" s="3"/>
      <c r="F93" s="3"/>
      <c r="G93" s="3"/>
      <c r="H93" s="3"/>
      <c r="K93" s="3"/>
      <c r="L93" s="3"/>
      <c r="O93" s="11"/>
      <c r="P93" s="3"/>
      <c r="Q93" s="9"/>
    </row>
    <row r="94" spans="2:17" x14ac:dyDescent="0.25">
      <c r="B94" s="1"/>
      <c r="E94" s="3"/>
      <c r="F94" s="3"/>
      <c r="G94" s="3"/>
      <c r="H94" s="3"/>
      <c r="K94" s="3"/>
      <c r="L94" s="3"/>
      <c r="O94" s="11"/>
      <c r="P94" s="3"/>
      <c r="Q94" s="9"/>
    </row>
    <row r="95" spans="2:17" x14ac:dyDescent="0.25">
      <c r="B95" s="1"/>
      <c r="E95" s="3"/>
      <c r="F95" s="3"/>
      <c r="G95" s="3"/>
      <c r="H95" s="3"/>
      <c r="K95" s="3"/>
      <c r="L95" s="3"/>
      <c r="O95" s="11"/>
      <c r="P95" s="3"/>
      <c r="Q95" s="9"/>
    </row>
    <row r="96" spans="2:17" x14ac:dyDescent="0.25">
      <c r="B96" s="1"/>
      <c r="E96" s="3"/>
      <c r="F96" s="3"/>
      <c r="G96" s="3"/>
      <c r="H96" s="3"/>
      <c r="K96" s="3"/>
      <c r="L96" s="3"/>
      <c r="O96" s="11"/>
      <c r="P96" s="3"/>
      <c r="Q96" s="9"/>
    </row>
    <row r="97" spans="2:17" x14ac:dyDescent="0.25">
      <c r="B97" s="1"/>
      <c r="E97" s="3"/>
      <c r="F97" s="3"/>
      <c r="G97" s="3"/>
      <c r="H97" s="3"/>
      <c r="K97" s="3"/>
      <c r="L97" s="3"/>
      <c r="O97" s="11"/>
      <c r="P97" s="3"/>
      <c r="Q97" s="9"/>
    </row>
    <row r="98" spans="2:17" x14ac:dyDescent="0.25">
      <c r="B98" s="1"/>
      <c r="E98" s="3"/>
      <c r="F98" s="3"/>
      <c r="G98" s="3"/>
      <c r="H98" s="3"/>
      <c r="K98" s="3"/>
      <c r="L98" s="3"/>
      <c r="O98" s="11"/>
      <c r="P98" s="3"/>
      <c r="Q98" s="9"/>
    </row>
    <row r="99" spans="2:17" x14ac:dyDescent="0.25">
      <c r="B99" s="1"/>
      <c r="E99" s="3"/>
      <c r="F99" s="3"/>
      <c r="G99" s="3"/>
      <c r="H99" s="3"/>
      <c r="K99" s="3"/>
      <c r="L99" s="3"/>
      <c r="O99" s="11"/>
      <c r="P99" s="3"/>
      <c r="Q99" s="9"/>
    </row>
    <row r="100" spans="2:17" x14ac:dyDescent="0.25">
      <c r="B100" s="1"/>
      <c r="E100" s="3"/>
      <c r="F100" s="3"/>
      <c r="G100" s="3"/>
      <c r="H100" s="3"/>
      <c r="K100" s="3"/>
      <c r="L100" s="3"/>
      <c r="O100" s="11"/>
      <c r="P100" s="3"/>
      <c r="Q100" s="9"/>
    </row>
    <row r="101" spans="2:17" x14ac:dyDescent="0.25">
      <c r="B101" s="1"/>
      <c r="E101" s="3"/>
      <c r="F101" s="3"/>
      <c r="G101" s="3"/>
      <c r="H101" s="3"/>
      <c r="K101" s="3"/>
      <c r="L101" s="3"/>
      <c r="O101" s="11"/>
      <c r="P101" s="3"/>
      <c r="Q101" s="9"/>
    </row>
    <row r="102" spans="2:17" x14ac:dyDescent="0.25">
      <c r="B102" s="1"/>
      <c r="E102" s="3"/>
      <c r="F102" s="3"/>
      <c r="G102" s="3"/>
      <c r="H102" s="3"/>
      <c r="K102" s="3"/>
      <c r="L102" s="3"/>
      <c r="O102" s="11"/>
      <c r="P102" s="3"/>
      <c r="Q102" s="9"/>
    </row>
    <row r="103" spans="2:17" x14ac:dyDescent="0.25">
      <c r="B103" s="1"/>
      <c r="E103" s="3"/>
      <c r="F103" s="3"/>
      <c r="G103" s="3"/>
      <c r="H103" s="3"/>
      <c r="K103" s="3"/>
      <c r="L103" s="3"/>
      <c r="O103" s="11"/>
      <c r="P103" s="3"/>
      <c r="Q103" s="9"/>
    </row>
    <row r="104" spans="2:17" x14ac:dyDescent="0.25">
      <c r="B104" s="1"/>
      <c r="E104" s="3"/>
      <c r="F104" s="3"/>
      <c r="G104" s="3"/>
      <c r="H104" s="3"/>
      <c r="K104" s="3"/>
      <c r="L104" s="3"/>
      <c r="O104" s="11"/>
      <c r="P104" s="3"/>
      <c r="Q104" s="9"/>
    </row>
    <row r="105" spans="2:17" x14ac:dyDescent="0.25">
      <c r="B105" s="1"/>
      <c r="E105" s="3"/>
      <c r="F105" s="3"/>
      <c r="G105" s="3"/>
      <c r="H105" s="3"/>
      <c r="K105" s="3"/>
      <c r="L105" s="3"/>
      <c r="O105" s="11"/>
      <c r="P105" s="3"/>
      <c r="Q105" s="9"/>
    </row>
    <row r="106" spans="2:17" x14ac:dyDescent="0.25">
      <c r="B106" s="1"/>
      <c r="E106" s="3"/>
      <c r="F106" s="3"/>
      <c r="G106" s="3"/>
      <c r="H106" s="3"/>
      <c r="K106" s="3"/>
      <c r="L106" s="3"/>
      <c r="O106" s="11"/>
      <c r="P106" s="3"/>
      <c r="Q106" s="9"/>
    </row>
    <row r="107" spans="2:17" x14ac:dyDescent="0.25">
      <c r="B107" s="1"/>
      <c r="E107" s="3"/>
      <c r="F107" s="3"/>
      <c r="G107" s="3"/>
      <c r="H107" s="3"/>
      <c r="K107" s="3"/>
      <c r="L107" s="3"/>
      <c r="O107" s="11"/>
      <c r="P107" s="3"/>
      <c r="Q107" s="9"/>
    </row>
    <row r="108" spans="2:17" x14ac:dyDescent="0.25">
      <c r="B108" s="1"/>
      <c r="E108" s="3"/>
      <c r="F108" s="3"/>
      <c r="G108" s="3"/>
      <c r="H108" s="3"/>
      <c r="K108" s="3"/>
      <c r="L108" s="3"/>
      <c r="O108" s="11"/>
      <c r="P108" s="3"/>
      <c r="Q108" s="9"/>
    </row>
    <row r="109" spans="2:17" x14ac:dyDescent="0.25">
      <c r="B109" s="1"/>
      <c r="E109" s="3"/>
      <c r="F109" s="3"/>
      <c r="G109" s="3"/>
      <c r="H109" s="3"/>
      <c r="K109" s="3"/>
      <c r="L109" s="3"/>
      <c r="O109" s="11"/>
      <c r="P109" s="3"/>
      <c r="Q109" s="9"/>
    </row>
    <row r="110" spans="2:17" x14ac:dyDescent="0.25">
      <c r="B110" s="1"/>
      <c r="E110" s="3"/>
      <c r="F110" s="3"/>
      <c r="G110" s="3"/>
      <c r="H110" s="3"/>
      <c r="K110" s="3"/>
      <c r="L110" s="3"/>
      <c r="O110" s="11"/>
      <c r="P110" s="3"/>
      <c r="Q110" s="9"/>
    </row>
    <row r="111" spans="2:17" x14ac:dyDescent="0.25">
      <c r="B111" s="1"/>
      <c r="E111" s="3"/>
      <c r="F111" s="3"/>
      <c r="G111" s="3"/>
      <c r="H111" s="3"/>
      <c r="K111" s="3"/>
      <c r="L111" s="3"/>
      <c r="O111" s="11"/>
      <c r="P111" s="3"/>
      <c r="Q111" s="9"/>
    </row>
    <row r="112" spans="2:17" x14ac:dyDescent="0.25">
      <c r="B112" s="1"/>
      <c r="E112" s="3"/>
      <c r="F112" s="3"/>
      <c r="G112" s="3"/>
      <c r="H112" s="3"/>
      <c r="K112" s="3"/>
      <c r="L112" s="3"/>
      <c r="O112" s="11"/>
      <c r="P112" s="3"/>
      <c r="Q112" s="9"/>
    </row>
    <row r="113" spans="2:17" x14ac:dyDescent="0.25">
      <c r="B113" s="1"/>
      <c r="E113" s="3"/>
      <c r="F113" s="3"/>
      <c r="G113" s="3"/>
      <c r="H113" s="3"/>
      <c r="K113" s="3"/>
      <c r="L113" s="3"/>
      <c r="O113" s="11"/>
      <c r="P113" s="3"/>
      <c r="Q113" s="9"/>
    </row>
    <row r="114" spans="2:17" x14ac:dyDescent="0.25">
      <c r="B114" s="1"/>
      <c r="E114" s="3"/>
      <c r="F114" s="3"/>
      <c r="G114" s="3"/>
      <c r="H114" s="3"/>
      <c r="K114" s="3"/>
      <c r="L114" s="3"/>
      <c r="O114" s="11"/>
      <c r="P114" s="3"/>
      <c r="Q114" s="9"/>
    </row>
    <row r="115" spans="2:17" x14ac:dyDescent="0.25">
      <c r="B115" s="1"/>
      <c r="E115" s="3"/>
      <c r="F115" s="3"/>
      <c r="G115" s="3"/>
      <c r="H115" s="3"/>
      <c r="K115" s="3"/>
      <c r="L115" s="3"/>
      <c r="O115" s="11"/>
      <c r="P115" s="3"/>
      <c r="Q115" s="9"/>
    </row>
    <row r="116" spans="2:17" x14ac:dyDescent="0.25">
      <c r="B116" s="1"/>
      <c r="E116" s="3"/>
      <c r="F116" s="3"/>
      <c r="G116" s="3"/>
      <c r="H116" s="3"/>
      <c r="K116" s="3"/>
      <c r="L116" s="3"/>
      <c r="O116" s="11"/>
      <c r="P116" s="3"/>
      <c r="Q116" s="9"/>
    </row>
    <row r="117" spans="2:17" x14ac:dyDescent="0.25">
      <c r="B117" s="1"/>
      <c r="E117" s="3"/>
      <c r="F117" s="3"/>
      <c r="G117" s="3"/>
      <c r="H117" s="3"/>
      <c r="K117" s="3"/>
      <c r="L117" s="3"/>
      <c r="O117" s="11"/>
      <c r="P117" s="3"/>
      <c r="Q117" s="9"/>
    </row>
    <row r="118" spans="2:17" x14ac:dyDescent="0.25">
      <c r="B118" s="1"/>
      <c r="E118" s="3"/>
      <c r="F118" s="3"/>
      <c r="G118" s="3"/>
      <c r="H118" s="3"/>
      <c r="K118" s="3"/>
      <c r="L118" s="3"/>
      <c r="O118" s="11"/>
      <c r="P118" s="3"/>
      <c r="Q118" s="9"/>
    </row>
    <row r="119" spans="2:17" x14ac:dyDescent="0.25">
      <c r="B119" s="1"/>
      <c r="E119" s="3"/>
      <c r="F119" s="3"/>
      <c r="G119" s="3"/>
      <c r="H119" s="3"/>
      <c r="K119" s="3"/>
      <c r="L119" s="3"/>
      <c r="O119" s="11"/>
      <c r="P119" s="3"/>
      <c r="Q119" s="9"/>
    </row>
    <row r="120" spans="2:17" x14ac:dyDescent="0.25">
      <c r="B120" s="1"/>
      <c r="E120" s="3"/>
      <c r="F120" s="3"/>
      <c r="G120" s="3"/>
      <c r="H120" s="3"/>
      <c r="K120" s="3"/>
      <c r="L120" s="3"/>
      <c r="O120" s="11"/>
      <c r="P120" s="3"/>
      <c r="Q120" s="9"/>
    </row>
    <row r="121" spans="2:17" x14ac:dyDescent="0.25">
      <c r="B121" s="1"/>
      <c r="E121" s="3"/>
      <c r="F121" s="3"/>
      <c r="G121" s="3"/>
      <c r="H121" s="3"/>
      <c r="K121" s="3"/>
      <c r="L121" s="3"/>
      <c r="O121" s="11"/>
      <c r="P121" s="3"/>
      <c r="Q121" s="9"/>
    </row>
    <row r="122" spans="2:17" x14ac:dyDescent="0.25">
      <c r="B122" s="1"/>
      <c r="E122" s="3"/>
      <c r="F122" s="3"/>
      <c r="G122" s="3"/>
      <c r="H122" s="3"/>
      <c r="K122" s="3"/>
      <c r="L122" s="3"/>
      <c r="O122" s="11"/>
      <c r="P122" s="3"/>
      <c r="Q122" s="9"/>
    </row>
    <row r="123" spans="2:17" x14ac:dyDescent="0.25">
      <c r="B123" s="1"/>
      <c r="E123" s="3"/>
      <c r="F123" s="3"/>
      <c r="G123" s="3"/>
      <c r="H123" s="3"/>
      <c r="K123" s="3"/>
      <c r="L123" s="3"/>
      <c r="O123" s="11"/>
      <c r="P123" s="3"/>
      <c r="Q123" s="9"/>
    </row>
    <row r="124" spans="2:17" x14ac:dyDescent="0.25">
      <c r="B124" s="1"/>
      <c r="E124" s="3"/>
      <c r="F124" s="3"/>
      <c r="G124" s="3"/>
      <c r="H124" s="3"/>
      <c r="K124" s="3"/>
      <c r="L124" s="3"/>
      <c r="O124" s="11"/>
      <c r="P124" s="3"/>
      <c r="Q124" s="9"/>
    </row>
    <row r="125" spans="2:17" x14ac:dyDescent="0.25">
      <c r="B125" s="1"/>
      <c r="E125" s="3"/>
      <c r="F125" s="3"/>
      <c r="G125" s="3"/>
      <c r="H125" s="3"/>
      <c r="K125" s="3"/>
      <c r="L125" s="3"/>
      <c r="O125" s="11"/>
      <c r="P125" s="3"/>
      <c r="Q125" s="9"/>
    </row>
    <row r="126" spans="2:17" x14ac:dyDescent="0.25">
      <c r="B126" s="1"/>
      <c r="E126" s="3"/>
      <c r="F126" s="3"/>
      <c r="G126" s="3"/>
      <c r="H126" s="3"/>
      <c r="K126" s="3"/>
      <c r="L126" s="3"/>
      <c r="O126" s="11"/>
      <c r="P126" s="3"/>
      <c r="Q126" s="9"/>
    </row>
    <row r="127" spans="2:17" x14ac:dyDescent="0.25">
      <c r="B127" s="1"/>
      <c r="E127" s="3"/>
      <c r="F127" s="3"/>
      <c r="G127" s="3"/>
      <c r="H127" s="3"/>
      <c r="K127" s="3"/>
      <c r="L127" s="3"/>
      <c r="O127" s="11"/>
      <c r="P127" s="3"/>
      <c r="Q127" s="9"/>
    </row>
    <row r="128" spans="2:17" x14ac:dyDescent="0.25">
      <c r="B128" s="1"/>
      <c r="E128" s="3"/>
      <c r="F128" s="3"/>
      <c r="G128" s="3"/>
      <c r="H128" s="3"/>
      <c r="K128" s="3"/>
      <c r="L128" s="3"/>
      <c r="O128" s="11"/>
      <c r="P128" s="3"/>
      <c r="Q128" s="9"/>
    </row>
    <row r="129" spans="2:17" x14ac:dyDescent="0.25">
      <c r="B129" s="1"/>
      <c r="E129" s="3"/>
      <c r="F129" s="3"/>
      <c r="G129" s="3"/>
      <c r="H129" s="3"/>
      <c r="K129" s="3"/>
      <c r="L129" s="3"/>
      <c r="O129" s="11"/>
      <c r="P129" s="3"/>
      <c r="Q129" s="9"/>
    </row>
    <row r="130" spans="2:17" x14ac:dyDescent="0.25">
      <c r="B130" s="1"/>
      <c r="E130" s="3"/>
      <c r="F130" s="3"/>
      <c r="G130" s="3"/>
      <c r="H130" s="3"/>
      <c r="K130" s="3"/>
      <c r="L130" s="3"/>
      <c r="O130" s="11"/>
      <c r="P130" s="3"/>
      <c r="Q130" s="9"/>
    </row>
    <row r="131" spans="2:17" x14ac:dyDescent="0.25">
      <c r="B131" s="1"/>
      <c r="E131" s="3"/>
      <c r="F131" s="3"/>
      <c r="G131" s="3"/>
      <c r="H131" s="3"/>
      <c r="K131" s="3"/>
      <c r="L131" s="3"/>
      <c r="O131" s="11"/>
      <c r="P131" s="3"/>
      <c r="Q131" s="9"/>
    </row>
    <row r="132" spans="2:17" x14ac:dyDescent="0.25">
      <c r="B132" s="1"/>
      <c r="E132" s="3"/>
      <c r="F132" s="3"/>
      <c r="G132" s="3"/>
      <c r="H132" s="3"/>
      <c r="K132" s="3"/>
      <c r="L132" s="3"/>
      <c r="O132" s="11"/>
      <c r="P132" s="3"/>
      <c r="Q132" s="9"/>
    </row>
    <row r="133" spans="2:17" x14ac:dyDescent="0.25">
      <c r="B133" s="1"/>
      <c r="E133" s="3"/>
      <c r="F133" s="3"/>
      <c r="G133" s="3"/>
      <c r="H133" s="3"/>
      <c r="K133" s="3"/>
      <c r="L133" s="3"/>
      <c r="O133" s="11"/>
      <c r="P133" s="3"/>
      <c r="Q133" s="9"/>
    </row>
    <row r="134" spans="2:17" x14ac:dyDescent="0.25">
      <c r="B134" s="1"/>
      <c r="E134" s="3"/>
      <c r="F134" s="3"/>
      <c r="G134" s="3"/>
      <c r="H134" s="3"/>
      <c r="K134" s="3"/>
      <c r="L134" s="3"/>
      <c r="O134" s="11"/>
      <c r="P134" s="3"/>
      <c r="Q134" s="9"/>
    </row>
    <row r="135" spans="2:17" x14ac:dyDescent="0.25">
      <c r="B135" s="1"/>
      <c r="E135" s="3"/>
      <c r="F135" s="3"/>
      <c r="G135" s="3"/>
      <c r="H135" s="3"/>
      <c r="K135" s="3"/>
      <c r="L135" s="3"/>
      <c r="O135" s="11"/>
      <c r="P135" s="3"/>
      <c r="Q135" s="9"/>
    </row>
    <row r="136" spans="2:17" x14ac:dyDescent="0.25">
      <c r="B136" s="1"/>
      <c r="E136" s="3"/>
      <c r="F136" s="3"/>
      <c r="G136" s="3"/>
      <c r="H136" s="3"/>
      <c r="K136" s="3"/>
      <c r="L136" s="3"/>
      <c r="O136" s="11"/>
      <c r="P136" s="3"/>
      <c r="Q136" s="9"/>
    </row>
    <row r="137" spans="2:17" x14ac:dyDescent="0.25">
      <c r="B137" s="1"/>
      <c r="E137" s="3"/>
      <c r="F137" s="3"/>
      <c r="G137" s="3"/>
      <c r="H137" s="3"/>
      <c r="K137" s="3"/>
      <c r="L137" s="3"/>
      <c r="O137" s="11"/>
      <c r="P137" s="3"/>
      <c r="Q137" s="9"/>
    </row>
    <row r="138" spans="2:17" x14ac:dyDescent="0.25">
      <c r="B138" s="1"/>
      <c r="E138" s="3"/>
      <c r="F138" s="3"/>
      <c r="G138" s="3"/>
      <c r="H138" s="3"/>
      <c r="K138" s="3"/>
      <c r="L138" s="3"/>
      <c r="O138" s="11"/>
      <c r="P138" s="3"/>
      <c r="Q138" s="9"/>
    </row>
    <row r="139" spans="2:17" x14ac:dyDescent="0.25">
      <c r="B139" s="1"/>
      <c r="E139" s="3"/>
      <c r="F139" s="3"/>
      <c r="G139" s="3"/>
      <c r="H139" s="3"/>
      <c r="K139" s="3"/>
      <c r="L139" s="3"/>
      <c r="O139" s="11"/>
      <c r="P139" s="3"/>
      <c r="Q139" s="9"/>
    </row>
    <row r="140" spans="2:17" x14ac:dyDescent="0.25">
      <c r="B140" s="1"/>
      <c r="E140" s="3"/>
      <c r="F140" s="3"/>
      <c r="G140" s="3"/>
      <c r="H140" s="3"/>
      <c r="K140" s="3"/>
      <c r="L140" s="3"/>
      <c r="O140" s="11"/>
      <c r="P140" s="3"/>
      <c r="Q140" s="9"/>
    </row>
    <row r="141" spans="2:17" x14ac:dyDescent="0.25">
      <c r="B141" s="1"/>
      <c r="E141" s="3"/>
      <c r="F141" s="3"/>
      <c r="G141" s="3"/>
      <c r="H141" s="3"/>
      <c r="K141" s="3"/>
      <c r="L141" s="3"/>
      <c r="O141" s="11"/>
      <c r="P141" s="3"/>
      <c r="Q141" s="9"/>
    </row>
    <row r="142" spans="2:17" x14ac:dyDescent="0.25">
      <c r="B142" s="1"/>
      <c r="E142" s="3"/>
      <c r="F142" s="3"/>
      <c r="G142" s="3"/>
      <c r="H142" s="3"/>
      <c r="K142" s="3"/>
      <c r="L142" s="3"/>
      <c r="O142" s="11"/>
      <c r="P142" s="3"/>
      <c r="Q142" s="9"/>
    </row>
    <row r="143" spans="2:17" x14ac:dyDescent="0.25">
      <c r="B143" s="1"/>
      <c r="E143" s="3"/>
      <c r="F143" s="3"/>
      <c r="G143" s="3"/>
      <c r="H143" s="3"/>
      <c r="K143" s="3"/>
      <c r="L143" s="3"/>
      <c r="O143" s="11"/>
      <c r="P143" s="3"/>
      <c r="Q143" s="9"/>
    </row>
    <row r="144" spans="2:17" x14ac:dyDescent="0.25">
      <c r="B144" s="1"/>
      <c r="E144" s="3"/>
      <c r="F144" s="3"/>
      <c r="G144" s="3"/>
      <c r="H144" s="3"/>
      <c r="K144" s="3"/>
      <c r="L144" s="3"/>
      <c r="O144" s="11"/>
      <c r="P144" s="3"/>
      <c r="Q144" s="9"/>
    </row>
    <row r="145" spans="2:17" x14ac:dyDescent="0.25">
      <c r="B145" s="1"/>
      <c r="E145" s="3"/>
      <c r="F145" s="3"/>
      <c r="G145" s="3"/>
      <c r="H145" s="3"/>
      <c r="K145" s="3"/>
      <c r="L145" s="3"/>
      <c r="O145" s="11"/>
      <c r="P145" s="3"/>
      <c r="Q145" s="9"/>
    </row>
    <row r="146" spans="2:17" x14ac:dyDescent="0.25">
      <c r="B146" s="1"/>
      <c r="E146" s="3"/>
      <c r="F146" s="3"/>
      <c r="G146" s="3"/>
      <c r="H146" s="3"/>
      <c r="K146" s="3"/>
      <c r="L146" s="3"/>
      <c r="O146" s="11"/>
      <c r="P146" s="3"/>
      <c r="Q146" s="9"/>
    </row>
    <row r="147" spans="2:17" x14ac:dyDescent="0.25">
      <c r="B147" s="1"/>
      <c r="E147" s="3"/>
      <c r="F147" s="3"/>
      <c r="G147" s="3"/>
      <c r="H147" s="3"/>
      <c r="K147" s="3"/>
      <c r="L147" s="3"/>
      <c r="O147" s="11"/>
      <c r="P147" s="3"/>
      <c r="Q147" s="9"/>
    </row>
    <row r="148" spans="2:17" x14ac:dyDescent="0.25">
      <c r="B148" s="1"/>
      <c r="E148" s="3"/>
      <c r="F148" s="3"/>
      <c r="G148" s="3"/>
      <c r="H148" s="3"/>
      <c r="K148" s="3"/>
      <c r="L148" s="3"/>
      <c r="O148" s="11"/>
      <c r="P148" s="3"/>
      <c r="Q148" s="9"/>
    </row>
    <row r="149" spans="2:17" x14ac:dyDescent="0.25">
      <c r="B149" s="1"/>
      <c r="E149" s="3"/>
      <c r="F149" s="3"/>
      <c r="G149" s="3"/>
      <c r="H149" s="3"/>
      <c r="K149" s="3"/>
      <c r="L149" s="3"/>
      <c r="O149" s="11"/>
      <c r="P149" s="3"/>
      <c r="Q149" s="9"/>
    </row>
    <row r="150" spans="2:17" x14ac:dyDescent="0.25">
      <c r="B150" s="1"/>
      <c r="E150" s="3"/>
      <c r="F150" s="3"/>
      <c r="G150" s="3"/>
      <c r="H150" s="3"/>
      <c r="K150" s="3"/>
      <c r="L150" s="3"/>
      <c r="O150" s="11"/>
      <c r="P150" s="3"/>
      <c r="Q150" s="9"/>
    </row>
    <row r="151" spans="2:17" x14ac:dyDescent="0.25">
      <c r="B151" s="1"/>
      <c r="E151" s="3"/>
      <c r="F151" s="3"/>
      <c r="G151" s="3"/>
      <c r="H151" s="3"/>
      <c r="K151" s="3"/>
      <c r="L151" s="3"/>
      <c r="O151" s="11"/>
      <c r="P151" s="3"/>
      <c r="Q151" s="9"/>
    </row>
    <row r="152" spans="2:17" x14ac:dyDescent="0.25">
      <c r="B152" s="1"/>
      <c r="E152" s="3"/>
      <c r="F152" s="3"/>
      <c r="G152" s="3"/>
      <c r="H152" s="3"/>
      <c r="K152" s="3"/>
      <c r="L152" s="3"/>
      <c r="O152" s="11"/>
      <c r="P152" s="3"/>
      <c r="Q152" s="9"/>
    </row>
    <row r="153" spans="2:17" x14ac:dyDescent="0.25">
      <c r="B153" s="1"/>
      <c r="E153" s="3"/>
      <c r="F153" s="3"/>
      <c r="G153" s="3"/>
      <c r="H153" s="3"/>
      <c r="K153" s="3"/>
      <c r="L153" s="3"/>
      <c r="O153" s="11"/>
      <c r="P153" s="3"/>
      <c r="Q153" s="9"/>
    </row>
    <row r="154" spans="2:17" x14ac:dyDescent="0.25">
      <c r="B154" s="1"/>
      <c r="E154" s="3"/>
      <c r="F154" s="3"/>
      <c r="G154" s="3"/>
      <c r="H154" s="3"/>
      <c r="K154" s="3"/>
      <c r="L154" s="3"/>
      <c r="O154" s="11"/>
      <c r="P154" s="3"/>
      <c r="Q154" s="9"/>
    </row>
    <row r="155" spans="2:17" x14ac:dyDescent="0.25">
      <c r="B155" s="1"/>
      <c r="E155" s="3"/>
      <c r="F155" s="3"/>
      <c r="G155" s="3"/>
      <c r="H155" s="3"/>
      <c r="K155" s="3"/>
      <c r="L155" s="3"/>
      <c r="O155" s="11"/>
      <c r="P155" s="3"/>
      <c r="Q155" s="9"/>
    </row>
    <row r="156" spans="2:17" x14ac:dyDescent="0.25">
      <c r="B156" s="1"/>
      <c r="E156" s="3"/>
      <c r="F156" s="3"/>
      <c r="G156" s="3"/>
      <c r="H156" s="3"/>
      <c r="K156" s="3"/>
      <c r="L156" s="3"/>
      <c r="O156" s="11"/>
      <c r="P156" s="3"/>
      <c r="Q156" s="9"/>
    </row>
    <row r="157" spans="2:17" x14ac:dyDescent="0.25">
      <c r="B157" s="1"/>
      <c r="E157" s="3"/>
      <c r="F157" s="3"/>
      <c r="G157" s="3"/>
      <c r="H157" s="3"/>
      <c r="K157" s="3"/>
      <c r="L157" s="3"/>
      <c r="O157" s="11"/>
      <c r="P157" s="3"/>
      <c r="Q157" s="9"/>
    </row>
    <row r="158" spans="2:17" x14ac:dyDescent="0.25">
      <c r="B158" s="1"/>
      <c r="E158" s="3"/>
      <c r="F158" s="3"/>
      <c r="G158" s="3"/>
      <c r="H158" s="3"/>
      <c r="K158" s="3"/>
      <c r="L158" s="3"/>
      <c r="O158" s="11"/>
      <c r="P158" s="3"/>
      <c r="Q158" s="9"/>
    </row>
    <row r="159" spans="2:17" x14ac:dyDescent="0.25">
      <c r="B159" s="1"/>
      <c r="E159" s="3"/>
      <c r="F159" s="3"/>
      <c r="G159" s="3"/>
      <c r="H159" s="3"/>
      <c r="K159" s="3"/>
      <c r="L159" s="3"/>
      <c r="O159" s="11"/>
      <c r="P159" s="3"/>
      <c r="Q159" s="9"/>
    </row>
    <row r="160" spans="2:17" x14ac:dyDescent="0.25">
      <c r="B160" s="1"/>
      <c r="E160" s="3"/>
      <c r="F160" s="3"/>
      <c r="G160" s="3"/>
      <c r="H160" s="3"/>
      <c r="K160" s="3"/>
      <c r="L160" s="3"/>
      <c r="O160" s="11"/>
      <c r="P160" s="3"/>
      <c r="Q160" s="9"/>
    </row>
    <row r="161" spans="2:17" x14ac:dyDescent="0.25">
      <c r="B161" s="1"/>
      <c r="E161" s="3"/>
      <c r="F161" s="3"/>
      <c r="G161" s="3"/>
      <c r="H161" s="3"/>
      <c r="K161" s="3"/>
      <c r="L161" s="3"/>
      <c r="O161" s="11"/>
      <c r="P161" s="3"/>
      <c r="Q161" s="9"/>
    </row>
    <row r="162" spans="2:17" x14ac:dyDescent="0.25">
      <c r="B162" s="1"/>
      <c r="E162" s="3"/>
      <c r="F162" s="3"/>
      <c r="G162" s="3"/>
      <c r="H162" s="3"/>
      <c r="K162" s="3"/>
      <c r="L162" s="3"/>
      <c r="O162" s="11"/>
      <c r="P162" s="3"/>
      <c r="Q162" s="9"/>
    </row>
    <row r="163" spans="2:17" x14ac:dyDescent="0.25">
      <c r="B163" s="1"/>
      <c r="E163" s="3"/>
      <c r="F163" s="3"/>
      <c r="G163" s="3"/>
      <c r="H163" s="3"/>
      <c r="K163" s="3"/>
      <c r="L163" s="3"/>
      <c r="O163" s="11"/>
      <c r="P163" s="3"/>
      <c r="Q163" s="9"/>
    </row>
    <row r="164" spans="2:17" x14ac:dyDescent="0.25">
      <c r="B164" s="1"/>
      <c r="E164" s="3"/>
      <c r="F164" s="3"/>
      <c r="G164" s="3"/>
      <c r="H164" s="3"/>
      <c r="K164" s="3"/>
      <c r="L164" s="3"/>
      <c r="O164" s="11"/>
      <c r="P164" s="3"/>
      <c r="Q164" s="9"/>
    </row>
    <row r="165" spans="2:17" x14ac:dyDescent="0.25">
      <c r="B165" s="1"/>
      <c r="E165" s="3"/>
      <c r="F165" s="3"/>
      <c r="G165" s="3"/>
      <c r="H165" s="3"/>
      <c r="K165" s="3"/>
      <c r="L165" s="3"/>
      <c r="O165" s="11"/>
      <c r="P165" s="3"/>
      <c r="Q165" s="9"/>
    </row>
    <row r="166" spans="2:17" x14ac:dyDescent="0.25">
      <c r="B166" s="1"/>
      <c r="E166" s="3"/>
      <c r="F166" s="3"/>
      <c r="G166" s="3"/>
      <c r="H166" s="3"/>
      <c r="K166" s="3"/>
      <c r="L166" s="3"/>
      <c r="O166" s="11"/>
      <c r="P166" s="3"/>
      <c r="Q166" s="9"/>
    </row>
    <row r="167" spans="2:17" x14ac:dyDescent="0.25">
      <c r="B167" s="1"/>
      <c r="E167" s="3"/>
      <c r="F167" s="3"/>
      <c r="G167" s="3"/>
      <c r="H167" s="3"/>
      <c r="K167" s="3"/>
      <c r="L167" s="3"/>
      <c r="O167" s="11"/>
      <c r="P167" s="3"/>
      <c r="Q167" s="9"/>
    </row>
    <row r="168" spans="2:17" x14ac:dyDescent="0.25">
      <c r="B168" s="1"/>
      <c r="E168" s="3"/>
      <c r="F168" s="3"/>
      <c r="G168" s="3"/>
      <c r="H168" s="3"/>
      <c r="K168" s="3"/>
      <c r="L168" s="3"/>
      <c r="O168" s="11"/>
      <c r="P168" s="3"/>
      <c r="Q168" s="9"/>
    </row>
    <row r="169" spans="2:17" x14ac:dyDescent="0.25">
      <c r="B169" s="1"/>
      <c r="E169" s="3"/>
      <c r="F169" s="3"/>
      <c r="G169" s="3"/>
      <c r="H169" s="3"/>
      <c r="K169" s="3"/>
      <c r="L169" s="3"/>
      <c r="O169" s="11"/>
      <c r="P169" s="3"/>
      <c r="Q169" s="9"/>
    </row>
    <row r="170" spans="2:17" x14ac:dyDescent="0.25">
      <c r="B170" s="1"/>
      <c r="E170" s="3"/>
      <c r="F170" s="3"/>
      <c r="G170" s="3"/>
      <c r="H170" s="3"/>
      <c r="K170" s="3"/>
      <c r="L170" s="3"/>
      <c r="O170" s="11"/>
      <c r="P170" s="3"/>
      <c r="Q170" s="9"/>
    </row>
    <row r="171" spans="2:17" x14ac:dyDescent="0.25">
      <c r="B171" s="1"/>
      <c r="E171" s="3"/>
      <c r="F171" s="3"/>
      <c r="G171" s="3"/>
      <c r="H171" s="3"/>
      <c r="K171" s="3"/>
      <c r="L171" s="3"/>
      <c r="O171" s="11"/>
      <c r="P171" s="3"/>
      <c r="Q171" s="9"/>
    </row>
    <row r="172" spans="2:17" x14ac:dyDescent="0.25">
      <c r="B172" s="1"/>
      <c r="E172" s="3"/>
      <c r="F172" s="3"/>
      <c r="G172" s="3"/>
      <c r="H172" s="3"/>
      <c r="K172" s="3"/>
      <c r="L172" s="3"/>
      <c r="O172" s="11"/>
      <c r="P172" s="3"/>
      <c r="Q172" s="9"/>
    </row>
    <row r="173" spans="2:17" x14ac:dyDescent="0.25">
      <c r="B173" s="1"/>
      <c r="E173" s="3"/>
      <c r="F173" s="3"/>
      <c r="G173" s="3"/>
      <c r="H173" s="3"/>
      <c r="K173" s="3"/>
      <c r="L173" s="3"/>
      <c r="O173" s="11"/>
      <c r="P173" s="3"/>
      <c r="Q173" s="9"/>
    </row>
    <row r="174" spans="2:17" x14ac:dyDescent="0.25">
      <c r="B174" s="1"/>
      <c r="E174" s="3"/>
      <c r="F174" s="3"/>
      <c r="G174" s="3"/>
      <c r="H174" s="3"/>
      <c r="K174" s="3"/>
      <c r="L174" s="3"/>
      <c r="O174" s="11"/>
      <c r="P174" s="3"/>
      <c r="Q174" s="9"/>
    </row>
    <row r="175" spans="2:17" x14ac:dyDescent="0.25">
      <c r="B175" s="1"/>
      <c r="E175" s="3"/>
      <c r="F175" s="3"/>
      <c r="G175" s="3"/>
      <c r="H175" s="3"/>
      <c r="K175" s="3"/>
      <c r="L175" s="3"/>
      <c r="O175" s="11"/>
      <c r="P175" s="3"/>
      <c r="Q175" s="9"/>
    </row>
    <row r="176" spans="2:17" x14ac:dyDescent="0.25">
      <c r="B176" s="1"/>
      <c r="E176" s="3"/>
      <c r="F176" s="3"/>
      <c r="G176" s="3"/>
      <c r="H176" s="3"/>
      <c r="K176" s="3"/>
      <c r="L176" s="3"/>
      <c r="O176" s="11"/>
      <c r="P176" s="3"/>
      <c r="Q176" s="9"/>
    </row>
    <row r="177" spans="2:17" x14ac:dyDescent="0.25">
      <c r="B177" s="1"/>
      <c r="E177" s="3"/>
      <c r="F177" s="3"/>
      <c r="G177" s="3"/>
      <c r="H177" s="3"/>
      <c r="K177" s="3"/>
      <c r="L177" s="3"/>
      <c r="O177" s="11"/>
      <c r="P177" s="3"/>
      <c r="Q177" s="9"/>
    </row>
    <row r="178" spans="2:17" x14ac:dyDescent="0.25">
      <c r="B178" s="1"/>
      <c r="E178" s="3"/>
      <c r="F178" s="3"/>
      <c r="G178" s="3"/>
      <c r="H178" s="3"/>
      <c r="K178" s="3"/>
      <c r="L178" s="3"/>
      <c r="O178" s="11"/>
      <c r="P178" s="3"/>
      <c r="Q178" s="9"/>
    </row>
    <row r="179" spans="2:17" x14ac:dyDescent="0.25">
      <c r="B179" s="1"/>
      <c r="E179" s="3"/>
      <c r="F179" s="3"/>
      <c r="G179" s="3"/>
      <c r="H179" s="3"/>
      <c r="K179" s="3"/>
      <c r="L179" s="3"/>
      <c r="O179" s="11"/>
      <c r="P179" s="3"/>
      <c r="Q179" s="9"/>
    </row>
    <row r="180" spans="2:17" x14ac:dyDescent="0.25">
      <c r="B180" s="1"/>
      <c r="E180" s="3"/>
      <c r="F180" s="3"/>
      <c r="G180" s="3"/>
      <c r="H180" s="3"/>
      <c r="K180" s="3"/>
      <c r="L180" s="3"/>
      <c r="O180" s="11"/>
      <c r="P180" s="3"/>
      <c r="Q180" s="9"/>
    </row>
    <row r="181" spans="2:17" x14ac:dyDescent="0.25">
      <c r="B181" s="1"/>
      <c r="E181" s="3"/>
      <c r="F181" s="3"/>
      <c r="G181" s="3"/>
      <c r="H181" s="3"/>
      <c r="K181" s="3"/>
      <c r="L181" s="3"/>
      <c r="O181" s="11"/>
      <c r="P181" s="3"/>
      <c r="Q181" s="9"/>
    </row>
    <row r="182" spans="2:17" x14ac:dyDescent="0.25">
      <c r="B182" s="1"/>
      <c r="E182" s="3"/>
      <c r="F182" s="3"/>
      <c r="G182" s="3"/>
      <c r="H182" s="3"/>
      <c r="K182" s="3"/>
      <c r="L182" s="3"/>
      <c r="O182" s="11"/>
      <c r="P182" s="3"/>
      <c r="Q182" s="9"/>
    </row>
    <row r="183" spans="2:17" x14ac:dyDescent="0.25">
      <c r="B183" s="1"/>
      <c r="E183" s="3"/>
      <c r="F183" s="3"/>
      <c r="G183" s="3"/>
      <c r="H183" s="3"/>
      <c r="K183" s="3"/>
      <c r="L183" s="3"/>
      <c r="O183" s="11"/>
      <c r="P183" s="3"/>
      <c r="Q183" s="9"/>
    </row>
    <row r="184" spans="2:17" x14ac:dyDescent="0.25">
      <c r="B184" s="1"/>
      <c r="E184" s="3"/>
      <c r="F184" s="3"/>
      <c r="G184" s="3"/>
      <c r="H184" s="3"/>
      <c r="K184" s="3"/>
      <c r="L184" s="3"/>
      <c r="O184" s="11"/>
      <c r="P184" s="3"/>
      <c r="Q184" s="9"/>
    </row>
    <row r="185" spans="2:17" x14ac:dyDescent="0.25">
      <c r="B185" s="1"/>
      <c r="E185" s="3"/>
      <c r="F185" s="3"/>
      <c r="G185" s="3"/>
      <c r="H185" s="3"/>
      <c r="K185" s="3"/>
      <c r="L185" s="3"/>
      <c r="O185" s="11"/>
      <c r="P185" s="3"/>
      <c r="Q185" s="9"/>
    </row>
    <row r="186" spans="2:17" x14ac:dyDescent="0.25">
      <c r="B186" s="1"/>
      <c r="E186" s="3"/>
      <c r="F186" s="3"/>
      <c r="G186" s="3"/>
      <c r="H186" s="3"/>
      <c r="K186" s="3"/>
      <c r="L186" s="3"/>
      <c r="O186" s="11"/>
      <c r="P186" s="3"/>
      <c r="Q186" s="9"/>
    </row>
    <row r="187" spans="2:17" x14ac:dyDescent="0.25">
      <c r="B187" s="1"/>
      <c r="E187" s="3"/>
      <c r="F187" s="3"/>
      <c r="G187" s="3"/>
      <c r="H187" s="3"/>
      <c r="K187" s="3"/>
      <c r="L187" s="3"/>
      <c r="O187" s="11"/>
      <c r="P187" s="3"/>
      <c r="Q187" s="9"/>
    </row>
    <row r="188" spans="2:17" x14ac:dyDescent="0.25">
      <c r="B188" s="1"/>
      <c r="E188" s="3"/>
      <c r="F188" s="3"/>
      <c r="G188" s="3"/>
      <c r="H188" s="3"/>
      <c r="K188" s="3"/>
      <c r="L188" s="3"/>
      <c r="O188" s="11"/>
      <c r="P188" s="3"/>
      <c r="Q188" s="9"/>
    </row>
    <row r="189" spans="2:17" x14ac:dyDescent="0.25">
      <c r="B189" s="1"/>
      <c r="E189" s="3"/>
      <c r="F189" s="3"/>
      <c r="G189" s="3"/>
      <c r="H189" s="3"/>
      <c r="K189" s="3"/>
      <c r="L189" s="3"/>
      <c r="O189" s="11"/>
      <c r="P189" s="3"/>
      <c r="Q189" s="9"/>
    </row>
    <row r="190" spans="2:17" x14ac:dyDescent="0.25">
      <c r="B190" s="1"/>
      <c r="E190" s="3"/>
      <c r="F190" s="3"/>
      <c r="G190" s="3"/>
      <c r="H190" s="3"/>
      <c r="K190" s="3"/>
      <c r="L190" s="3"/>
      <c r="O190" s="11"/>
      <c r="P190" s="3"/>
      <c r="Q190" s="9"/>
    </row>
    <row r="191" spans="2:17" x14ac:dyDescent="0.25">
      <c r="B191" s="1"/>
      <c r="E191" s="3"/>
      <c r="F191" s="3"/>
      <c r="G191" s="3"/>
      <c r="H191" s="3"/>
      <c r="K191" s="3"/>
      <c r="L191" s="3"/>
      <c r="O191" s="11"/>
      <c r="P191" s="3"/>
      <c r="Q191" s="9"/>
    </row>
    <row r="192" spans="2:17" x14ac:dyDescent="0.25">
      <c r="B192" s="1"/>
      <c r="E192" s="3"/>
      <c r="F192" s="3"/>
      <c r="G192" s="3"/>
      <c r="H192" s="3"/>
      <c r="K192" s="3"/>
      <c r="L192" s="3"/>
      <c r="O192" s="11"/>
      <c r="P192" s="3"/>
      <c r="Q192" s="9"/>
    </row>
    <row r="193" spans="2:17" x14ac:dyDescent="0.25">
      <c r="B193" s="1"/>
      <c r="E193" s="3"/>
      <c r="F193" s="3"/>
      <c r="G193" s="3"/>
      <c r="H193" s="3"/>
      <c r="K193" s="3"/>
      <c r="L193" s="3"/>
      <c r="O193" s="11"/>
      <c r="P193" s="3"/>
      <c r="Q193" s="9"/>
    </row>
    <row r="194" spans="2:17" x14ac:dyDescent="0.25">
      <c r="B194" s="1"/>
      <c r="E194" s="3"/>
      <c r="F194" s="3"/>
      <c r="G194" s="3"/>
      <c r="H194" s="3"/>
      <c r="K194" s="3"/>
      <c r="L194" s="3"/>
      <c r="O194" s="11"/>
      <c r="P194" s="3"/>
      <c r="Q194" s="9"/>
    </row>
    <row r="195" spans="2:17" x14ac:dyDescent="0.25">
      <c r="B195" s="1"/>
      <c r="E195" s="3"/>
      <c r="F195" s="3"/>
      <c r="G195" s="3"/>
      <c r="H195" s="3"/>
      <c r="K195" s="3"/>
      <c r="L195" s="3"/>
      <c r="O195" s="11"/>
      <c r="P195" s="3"/>
      <c r="Q195" s="9"/>
    </row>
    <row r="196" spans="2:17" x14ac:dyDescent="0.25">
      <c r="B196" s="1"/>
      <c r="E196" s="3"/>
      <c r="F196" s="3"/>
      <c r="G196" s="3"/>
      <c r="H196" s="3"/>
      <c r="K196" s="3"/>
      <c r="L196" s="3"/>
      <c r="O196" s="11"/>
      <c r="P196" s="3"/>
      <c r="Q196" s="9"/>
    </row>
    <row r="197" spans="2:17" x14ac:dyDescent="0.25">
      <c r="B197" s="1"/>
      <c r="E197" s="3"/>
      <c r="F197" s="3"/>
      <c r="G197" s="3"/>
      <c r="H197" s="3"/>
      <c r="K197" s="3"/>
      <c r="L197" s="3"/>
      <c r="O197" s="11"/>
      <c r="P197" s="3"/>
      <c r="Q197" s="9"/>
    </row>
    <row r="198" spans="2:17" x14ac:dyDescent="0.25">
      <c r="B198" s="1"/>
      <c r="E198" s="3"/>
      <c r="F198" s="3"/>
      <c r="G198" s="3"/>
      <c r="H198" s="3"/>
      <c r="K198" s="3"/>
      <c r="L198" s="3"/>
      <c r="O198" s="11"/>
      <c r="P198" s="3"/>
      <c r="Q198" s="9"/>
    </row>
    <row r="199" spans="2:17" x14ac:dyDescent="0.25">
      <c r="B199" s="1"/>
      <c r="E199" s="3"/>
      <c r="F199" s="3"/>
      <c r="G199" s="3"/>
      <c r="H199" s="3"/>
      <c r="K199" s="3"/>
      <c r="L199" s="3"/>
      <c r="O199" s="11"/>
      <c r="P199" s="3"/>
      <c r="Q199" s="9"/>
    </row>
    <row r="200" spans="2:17" x14ac:dyDescent="0.25">
      <c r="B200" s="1"/>
      <c r="E200" s="3"/>
      <c r="F200" s="3"/>
      <c r="G200" s="3"/>
      <c r="H200" s="3"/>
      <c r="K200" s="3"/>
      <c r="L200" s="3"/>
      <c r="O200" s="11"/>
      <c r="P200" s="3"/>
      <c r="Q200" s="9"/>
    </row>
    <row r="201" spans="2:17" x14ac:dyDescent="0.25">
      <c r="B201" s="1"/>
      <c r="E201" s="3"/>
      <c r="F201" s="3"/>
      <c r="G201" s="3"/>
      <c r="H201" s="3"/>
      <c r="K201" s="3"/>
      <c r="L201" s="3"/>
      <c r="O201" s="11"/>
      <c r="P201" s="3"/>
      <c r="Q201" s="9"/>
    </row>
    <row r="202" spans="2:17" x14ac:dyDescent="0.25">
      <c r="B202" s="1"/>
      <c r="E202" s="3"/>
      <c r="F202" s="3"/>
      <c r="G202" s="3"/>
      <c r="H202" s="3"/>
      <c r="K202" s="3"/>
      <c r="L202" s="3"/>
      <c r="O202" s="11"/>
      <c r="P202" s="3"/>
      <c r="Q202" s="9"/>
    </row>
    <row r="203" spans="2:17" x14ac:dyDescent="0.25">
      <c r="B203" s="1"/>
      <c r="E203" s="3"/>
      <c r="F203" s="3"/>
      <c r="G203" s="3"/>
      <c r="H203" s="3"/>
      <c r="K203" s="3"/>
      <c r="L203" s="3"/>
      <c r="O203" s="11"/>
      <c r="P203" s="3"/>
      <c r="Q203" s="9"/>
    </row>
    <row r="204" spans="2:17" x14ac:dyDescent="0.25">
      <c r="B204" s="1"/>
      <c r="E204" s="3"/>
      <c r="F204" s="3"/>
      <c r="G204" s="3"/>
      <c r="H204" s="3"/>
      <c r="K204" s="3"/>
      <c r="L204" s="3"/>
      <c r="O204" s="11"/>
      <c r="P204" s="3"/>
      <c r="Q204" s="9"/>
    </row>
    <row r="205" spans="2:17" x14ac:dyDescent="0.25">
      <c r="B205" s="1"/>
      <c r="E205" s="3"/>
      <c r="F205" s="3"/>
      <c r="G205" s="3"/>
      <c r="H205" s="3"/>
      <c r="K205" s="3"/>
      <c r="L205" s="3"/>
      <c r="O205" s="11"/>
      <c r="P205" s="3"/>
      <c r="Q205" s="9"/>
    </row>
    <row r="206" spans="2:17" x14ac:dyDescent="0.25">
      <c r="B206" s="1"/>
      <c r="E206" s="3"/>
      <c r="F206" s="3"/>
      <c r="G206" s="3"/>
      <c r="H206" s="3"/>
      <c r="K206" s="3"/>
      <c r="L206" s="3"/>
      <c r="O206" s="11"/>
      <c r="P206" s="3"/>
      <c r="Q206" s="9"/>
    </row>
    <row r="207" spans="2:17" x14ac:dyDescent="0.25">
      <c r="B207" s="1"/>
      <c r="E207" s="3"/>
      <c r="F207" s="3"/>
      <c r="G207" s="3"/>
      <c r="H207" s="3"/>
      <c r="K207" s="3"/>
      <c r="L207" s="3"/>
      <c r="O207" s="11"/>
      <c r="P207" s="3"/>
      <c r="Q207" s="9"/>
    </row>
    <row r="208" spans="2:17" x14ac:dyDescent="0.25">
      <c r="B208" s="1"/>
      <c r="E208" s="3"/>
      <c r="F208" s="3"/>
      <c r="G208" s="3"/>
      <c r="H208" s="3"/>
      <c r="K208" s="3"/>
      <c r="L208" s="3"/>
      <c r="O208" s="11"/>
      <c r="P208" s="3"/>
      <c r="Q208" s="9"/>
    </row>
    <row r="209" spans="2:17" x14ac:dyDescent="0.25">
      <c r="B209" s="1"/>
      <c r="E209" s="3"/>
      <c r="F209" s="3"/>
      <c r="G209" s="3"/>
      <c r="H209" s="3"/>
      <c r="K209" s="3"/>
      <c r="L209" s="3"/>
      <c r="O209" s="11"/>
      <c r="P209" s="3"/>
      <c r="Q209" s="9"/>
    </row>
    <row r="210" spans="2:17" x14ac:dyDescent="0.25">
      <c r="B210" s="1"/>
      <c r="E210" s="3"/>
      <c r="F210" s="3"/>
      <c r="G210" s="3"/>
      <c r="H210" s="3"/>
      <c r="K210" s="3"/>
      <c r="L210" s="3"/>
      <c r="O210" s="11"/>
      <c r="P210" s="3"/>
      <c r="Q210" s="9"/>
    </row>
    <row r="211" spans="2:17" x14ac:dyDescent="0.25">
      <c r="B211" s="1"/>
      <c r="E211" s="3"/>
      <c r="F211" s="3"/>
      <c r="G211" s="3"/>
      <c r="H211" s="3"/>
      <c r="K211" s="3"/>
      <c r="L211" s="3"/>
      <c r="O211" s="11"/>
      <c r="P211" s="3"/>
      <c r="Q211" s="9"/>
    </row>
    <row r="212" spans="2:17" x14ac:dyDescent="0.25">
      <c r="B212" s="1"/>
      <c r="E212" s="3"/>
      <c r="F212" s="3"/>
      <c r="G212" s="3"/>
      <c r="H212" s="3"/>
      <c r="K212" s="3"/>
      <c r="L212" s="3"/>
      <c r="O212" s="11"/>
      <c r="P212" s="3"/>
      <c r="Q212" s="9"/>
    </row>
    <row r="213" spans="2:17" x14ac:dyDescent="0.25">
      <c r="B213" s="1"/>
      <c r="E213" s="3"/>
      <c r="F213" s="3"/>
      <c r="G213" s="3"/>
      <c r="H213" s="3"/>
      <c r="K213" s="3"/>
      <c r="L213" s="3"/>
      <c r="O213" s="11"/>
      <c r="P213" s="3"/>
      <c r="Q213" s="9"/>
    </row>
    <row r="214" spans="2:17" x14ac:dyDescent="0.25">
      <c r="B214" s="1"/>
      <c r="E214" s="3"/>
      <c r="F214" s="3"/>
      <c r="G214" s="3"/>
      <c r="H214" s="3"/>
      <c r="K214" s="3"/>
      <c r="L214" s="3"/>
      <c r="O214" s="11"/>
      <c r="P214" s="3"/>
      <c r="Q214" s="9"/>
    </row>
    <row r="215" spans="2:17" x14ac:dyDescent="0.25">
      <c r="B215" s="1"/>
      <c r="E215" s="3"/>
      <c r="F215" s="3"/>
      <c r="G215" s="3"/>
      <c r="H215" s="3"/>
      <c r="K215" s="3"/>
      <c r="L215" s="3"/>
      <c r="O215" s="11"/>
      <c r="P215" s="3"/>
      <c r="Q215" s="9"/>
    </row>
    <row r="216" spans="2:17" x14ac:dyDescent="0.25">
      <c r="B216" s="1"/>
      <c r="E216" s="3"/>
      <c r="F216" s="3"/>
      <c r="G216" s="3"/>
      <c r="H216" s="3"/>
      <c r="K216" s="3"/>
      <c r="L216" s="3"/>
      <c r="O216" s="11"/>
      <c r="P216" s="3"/>
      <c r="Q216" s="9"/>
    </row>
    <row r="217" spans="2:17" x14ac:dyDescent="0.25">
      <c r="B217" s="1"/>
      <c r="E217" s="3"/>
      <c r="F217" s="3"/>
      <c r="G217" s="3"/>
      <c r="H217" s="3"/>
      <c r="K217" s="3"/>
      <c r="L217" s="3"/>
      <c r="O217" s="11"/>
      <c r="P217" s="3"/>
      <c r="Q217" s="9"/>
    </row>
    <row r="218" spans="2:17" x14ac:dyDescent="0.25">
      <c r="B218" s="1"/>
      <c r="E218" s="3"/>
      <c r="F218" s="3"/>
      <c r="G218" s="3"/>
      <c r="H218" s="3"/>
      <c r="K218" s="3"/>
      <c r="L218" s="3"/>
      <c r="O218" s="11"/>
      <c r="P218" s="3"/>
      <c r="Q218" s="9"/>
    </row>
    <row r="219" spans="2:17" x14ac:dyDescent="0.25">
      <c r="B219" s="1"/>
      <c r="E219" s="3"/>
      <c r="F219" s="3"/>
      <c r="G219" s="3"/>
      <c r="H219" s="3"/>
      <c r="K219" s="3"/>
      <c r="L219" s="3"/>
      <c r="O219" s="11"/>
      <c r="P219" s="3"/>
      <c r="Q219" s="9"/>
    </row>
    <row r="220" spans="2:17" x14ac:dyDescent="0.25">
      <c r="B220" s="1"/>
      <c r="E220" s="3"/>
      <c r="F220" s="3"/>
      <c r="G220" s="3"/>
      <c r="H220" s="3"/>
      <c r="K220" s="3"/>
      <c r="L220" s="3"/>
      <c r="O220" s="11"/>
      <c r="P220" s="3"/>
      <c r="Q220" s="9"/>
    </row>
    <row r="221" spans="2:17" x14ac:dyDescent="0.25">
      <c r="B221" s="1"/>
      <c r="E221" s="3"/>
      <c r="F221" s="3"/>
      <c r="G221" s="3"/>
      <c r="H221" s="3"/>
      <c r="K221" s="3"/>
      <c r="L221" s="3"/>
      <c r="O221" s="11"/>
      <c r="P221" s="3"/>
      <c r="Q221" s="9"/>
    </row>
    <row r="222" spans="2:17" x14ac:dyDescent="0.25">
      <c r="B222" s="1"/>
      <c r="E222" s="3"/>
      <c r="F222" s="3"/>
      <c r="G222" s="3"/>
      <c r="H222" s="3"/>
      <c r="K222" s="3"/>
      <c r="L222" s="3"/>
      <c r="O222" s="11"/>
      <c r="P222" s="3"/>
      <c r="Q222" s="9"/>
    </row>
    <row r="223" spans="2:17" x14ac:dyDescent="0.25">
      <c r="B223" s="1"/>
      <c r="E223" s="3"/>
      <c r="F223" s="3"/>
      <c r="G223" s="3"/>
      <c r="H223" s="3"/>
      <c r="K223" s="3"/>
      <c r="L223" s="3"/>
      <c r="O223" s="11"/>
      <c r="P223" s="3"/>
      <c r="Q223" s="9"/>
    </row>
    <row r="224" spans="2:17" x14ac:dyDescent="0.25">
      <c r="B224" s="1"/>
      <c r="E224" s="3"/>
      <c r="F224" s="3"/>
      <c r="G224" s="3"/>
      <c r="H224" s="3"/>
      <c r="K224" s="3"/>
      <c r="L224" s="3"/>
      <c r="O224" s="11"/>
      <c r="P224" s="3"/>
      <c r="Q224" s="9"/>
    </row>
    <row r="225" spans="2:17" x14ac:dyDescent="0.25">
      <c r="B225" s="1"/>
      <c r="E225" s="3"/>
      <c r="F225" s="3"/>
      <c r="G225" s="3"/>
      <c r="H225" s="3"/>
      <c r="K225" s="3"/>
      <c r="L225" s="3"/>
      <c r="O225" s="11"/>
      <c r="P225" s="3"/>
      <c r="Q225" s="9"/>
    </row>
    <row r="226" spans="2:17" x14ac:dyDescent="0.25">
      <c r="B226" s="1"/>
      <c r="E226" s="3"/>
      <c r="F226" s="3"/>
      <c r="G226" s="3"/>
      <c r="H226" s="3"/>
      <c r="K226" s="3"/>
      <c r="L226" s="3"/>
      <c r="O226" s="11"/>
      <c r="P226" s="3"/>
      <c r="Q226" s="9"/>
    </row>
    <row r="227" spans="2:17" x14ac:dyDescent="0.25">
      <c r="B227" s="1"/>
      <c r="E227" s="3"/>
      <c r="F227" s="3"/>
      <c r="G227" s="3"/>
      <c r="H227" s="3"/>
      <c r="K227" s="3"/>
      <c r="L227" s="3"/>
      <c r="O227" s="11"/>
      <c r="P227" s="3"/>
      <c r="Q227" s="9"/>
    </row>
    <row r="228" spans="2:17" x14ac:dyDescent="0.25">
      <c r="B228" s="1"/>
      <c r="E228" s="3"/>
      <c r="F228" s="3"/>
      <c r="G228" s="3"/>
      <c r="H228" s="3"/>
      <c r="K228" s="3"/>
      <c r="L228" s="3"/>
      <c r="O228" s="11"/>
      <c r="P228" s="3"/>
      <c r="Q228" s="9"/>
    </row>
    <row r="229" spans="2:17" x14ac:dyDescent="0.25">
      <c r="B229" s="1"/>
      <c r="E229" s="3"/>
      <c r="F229" s="3"/>
      <c r="G229" s="3"/>
      <c r="H229" s="3"/>
      <c r="K229" s="3"/>
      <c r="L229" s="3"/>
      <c r="O229" s="11"/>
      <c r="P229" s="3"/>
      <c r="Q229" s="9"/>
    </row>
    <row r="230" spans="2:17" x14ac:dyDescent="0.25">
      <c r="B230" s="1"/>
      <c r="E230" s="3"/>
      <c r="F230" s="3"/>
      <c r="G230" s="3"/>
      <c r="H230" s="3"/>
      <c r="K230" s="3"/>
      <c r="L230" s="3"/>
      <c r="O230" s="11"/>
      <c r="P230" s="3"/>
      <c r="Q230" s="9"/>
    </row>
    <row r="231" spans="2:17" x14ac:dyDescent="0.25">
      <c r="B231" s="1"/>
      <c r="E231" s="3"/>
      <c r="F231" s="3"/>
      <c r="G231" s="3"/>
      <c r="H231" s="3"/>
      <c r="K231" s="3"/>
      <c r="L231" s="3"/>
      <c r="O231" s="11"/>
      <c r="P231" s="3"/>
      <c r="Q231" s="9"/>
    </row>
    <row r="232" spans="2:17" x14ac:dyDescent="0.25">
      <c r="B232" s="1"/>
      <c r="E232" s="3"/>
      <c r="F232" s="3"/>
      <c r="G232" s="3"/>
      <c r="H232" s="3"/>
      <c r="K232" s="3"/>
      <c r="L232" s="3"/>
      <c r="O232" s="11"/>
      <c r="P232" s="3"/>
      <c r="Q232" s="9"/>
    </row>
    <row r="233" spans="2:17" x14ac:dyDescent="0.25">
      <c r="B233" s="1"/>
      <c r="E233" s="3"/>
      <c r="F233" s="3"/>
      <c r="G233" s="3"/>
      <c r="H233" s="3"/>
      <c r="K233" s="3"/>
      <c r="L233" s="3"/>
      <c r="O233" s="11"/>
      <c r="P233" s="3"/>
      <c r="Q233" s="9"/>
    </row>
    <row r="234" spans="2:17" x14ac:dyDescent="0.25">
      <c r="B234" s="1"/>
      <c r="E234" s="3"/>
      <c r="F234" s="3"/>
      <c r="G234" s="3"/>
      <c r="H234" s="3"/>
      <c r="K234" s="3"/>
      <c r="L234" s="3"/>
      <c r="O234" s="11"/>
      <c r="P234" s="3"/>
      <c r="Q234" s="9"/>
    </row>
    <row r="235" spans="2:17" x14ac:dyDescent="0.25">
      <c r="B235" s="1"/>
      <c r="E235" s="3"/>
      <c r="F235" s="3"/>
      <c r="G235" s="3"/>
      <c r="H235" s="3"/>
      <c r="K235" s="3"/>
      <c r="L235" s="3"/>
      <c r="O235" s="11"/>
      <c r="P235" s="3"/>
      <c r="Q235" s="9"/>
    </row>
    <row r="236" spans="2:17" x14ac:dyDescent="0.25">
      <c r="B236" s="1"/>
      <c r="E236" s="3"/>
      <c r="F236" s="3"/>
      <c r="G236" s="3"/>
      <c r="H236" s="3"/>
      <c r="K236" s="3"/>
      <c r="L236" s="3"/>
      <c r="O236" s="11"/>
      <c r="P236" s="3"/>
      <c r="Q236" s="9"/>
    </row>
    <row r="237" spans="2:17" x14ac:dyDescent="0.25">
      <c r="B237" s="1"/>
      <c r="E237" s="3"/>
      <c r="F237" s="3"/>
      <c r="G237" s="3"/>
      <c r="H237" s="3"/>
      <c r="K237" s="3"/>
      <c r="L237" s="3"/>
      <c r="O237" s="11"/>
      <c r="P237" s="3"/>
      <c r="Q237" s="9"/>
    </row>
    <row r="238" spans="2:17" x14ac:dyDescent="0.25">
      <c r="B238" s="1"/>
      <c r="E238" s="3"/>
      <c r="F238" s="3"/>
      <c r="G238" s="3"/>
      <c r="H238" s="3"/>
      <c r="K238" s="3"/>
      <c r="L238" s="3"/>
      <c r="O238" s="11"/>
      <c r="P238" s="3"/>
      <c r="Q238" s="9"/>
    </row>
    <row r="239" spans="2:17" x14ac:dyDescent="0.25">
      <c r="B239" s="1"/>
      <c r="E239" s="3"/>
      <c r="F239" s="3"/>
      <c r="G239" s="3"/>
      <c r="H239" s="3"/>
      <c r="K239" s="3"/>
      <c r="L239" s="3"/>
      <c r="O239" s="11"/>
      <c r="P239" s="3"/>
      <c r="Q239" s="9"/>
    </row>
    <row r="240" spans="2:17" x14ac:dyDescent="0.25">
      <c r="B240" s="1"/>
      <c r="E240" s="3"/>
      <c r="F240" s="3"/>
      <c r="G240" s="3"/>
      <c r="H240" s="3"/>
      <c r="K240" s="3"/>
      <c r="L240" s="3"/>
      <c r="O240" s="11"/>
      <c r="P240" s="3"/>
      <c r="Q240" s="9"/>
    </row>
    <row r="241" spans="2:17" x14ac:dyDescent="0.25">
      <c r="B241" s="1"/>
      <c r="E241" s="3"/>
      <c r="F241" s="3"/>
      <c r="G241" s="3"/>
      <c r="H241" s="3"/>
      <c r="K241" s="3"/>
      <c r="L241" s="3"/>
      <c r="O241" s="11"/>
      <c r="P241" s="3"/>
      <c r="Q241" s="9"/>
    </row>
    <row r="242" spans="2:17" x14ac:dyDescent="0.25">
      <c r="B242" s="1"/>
      <c r="E242" s="3"/>
      <c r="F242" s="3"/>
      <c r="G242" s="3"/>
      <c r="H242" s="3"/>
      <c r="K242" s="3"/>
      <c r="L242" s="3"/>
      <c r="O242" s="11"/>
      <c r="P242" s="3"/>
      <c r="Q242" s="9"/>
    </row>
    <row r="243" spans="2:17" x14ac:dyDescent="0.25">
      <c r="B243" s="1"/>
      <c r="E243" s="3"/>
      <c r="F243" s="3"/>
      <c r="G243" s="3"/>
      <c r="H243" s="3"/>
      <c r="K243" s="3"/>
      <c r="L243" s="3"/>
      <c r="O243" s="11"/>
      <c r="P243" s="3"/>
      <c r="Q243" s="9"/>
    </row>
    <row r="244" spans="2:17" x14ac:dyDescent="0.25">
      <c r="B244" s="1"/>
      <c r="E244" s="3"/>
      <c r="F244" s="3"/>
      <c r="G244" s="3"/>
      <c r="H244" s="3"/>
      <c r="K244" s="3"/>
      <c r="L244" s="3"/>
      <c r="O244" s="11"/>
      <c r="P244" s="3"/>
      <c r="Q244" s="9"/>
    </row>
    <row r="245" spans="2:17" x14ac:dyDescent="0.25">
      <c r="B245" s="1"/>
      <c r="E245" s="3"/>
      <c r="F245" s="3"/>
      <c r="G245" s="3"/>
      <c r="H245" s="3"/>
      <c r="K245" s="3"/>
      <c r="L245" s="3"/>
      <c r="O245" s="11"/>
      <c r="P245" s="3"/>
      <c r="Q245" s="9"/>
    </row>
    <row r="246" spans="2:17" x14ac:dyDescent="0.25">
      <c r="B246" s="1"/>
      <c r="E246" s="3"/>
      <c r="F246" s="3"/>
      <c r="G246" s="3"/>
      <c r="H246" s="3"/>
      <c r="K246" s="3"/>
      <c r="L246" s="3"/>
      <c r="O246" s="11"/>
      <c r="P246" s="3"/>
      <c r="Q246" s="9"/>
    </row>
    <row r="247" spans="2:17" x14ac:dyDescent="0.25">
      <c r="B247" s="1"/>
      <c r="E247" s="3"/>
      <c r="F247" s="3"/>
      <c r="G247" s="3"/>
      <c r="H247" s="3"/>
      <c r="K247" s="3"/>
      <c r="L247" s="3"/>
      <c r="O247" s="11"/>
      <c r="P247" s="3"/>
      <c r="Q247" s="9"/>
    </row>
    <row r="248" spans="2:17" x14ac:dyDescent="0.25">
      <c r="B248" s="1"/>
      <c r="E248" s="3"/>
      <c r="F248" s="3"/>
      <c r="G248" s="3"/>
      <c r="H248" s="3"/>
      <c r="K248" s="3"/>
      <c r="L248" s="3"/>
      <c r="O248" s="11"/>
      <c r="P248" s="3"/>
      <c r="Q248" s="9"/>
    </row>
    <row r="249" spans="2:17" x14ac:dyDescent="0.25">
      <c r="B249" s="1"/>
      <c r="E249" s="3"/>
      <c r="F249" s="3"/>
      <c r="G249" s="3"/>
      <c r="H249" s="3"/>
      <c r="K249" s="3"/>
      <c r="L249" s="3"/>
      <c r="O249" s="11"/>
      <c r="P249" s="3"/>
      <c r="Q249" s="9"/>
    </row>
    <row r="250" spans="2:17" x14ac:dyDescent="0.25">
      <c r="B250" s="1"/>
      <c r="E250" s="3"/>
      <c r="F250" s="3"/>
      <c r="G250" s="3"/>
      <c r="H250" s="3"/>
      <c r="K250" s="3"/>
      <c r="L250" s="3"/>
      <c r="O250" s="11"/>
      <c r="P250" s="3"/>
      <c r="Q250" s="9"/>
    </row>
    <row r="251" spans="2:17" x14ac:dyDescent="0.25">
      <c r="B251" s="1"/>
      <c r="E251" s="3"/>
      <c r="F251" s="3"/>
      <c r="G251" s="3"/>
      <c r="H251" s="3"/>
      <c r="K251" s="3"/>
      <c r="L251" s="3"/>
      <c r="O251" s="11"/>
      <c r="P251" s="3"/>
      <c r="Q251" s="9"/>
    </row>
    <row r="252" spans="2:17" x14ac:dyDescent="0.25">
      <c r="B252" s="1"/>
      <c r="E252" s="3"/>
      <c r="F252" s="3"/>
      <c r="G252" s="3"/>
      <c r="H252" s="3"/>
      <c r="K252" s="3"/>
      <c r="L252" s="3"/>
      <c r="O252" s="11"/>
      <c r="P252" s="3"/>
      <c r="Q252" s="9"/>
    </row>
    <row r="253" spans="2:17" x14ac:dyDescent="0.25">
      <c r="B253" s="1"/>
      <c r="E253" s="3"/>
      <c r="F253" s="3"/>
      <c r="G253" s="3"/>
      <c r="H253" s="3"/>
      <c r="K253" s="3"/>
      <c r="L253" s="3"/>
      <c r="O253" s="11"/>
      <c r="P253" s="3"/>
      <c r="Q253" s="9"/>
    </row>
    <row r="254" spans="2:17" x14ac:dyDescent="0.25">
      <c r="B254" s="1"/>
      <c r="E254" s="3"/>
      <c r="F254" s="3"/>
      <c r="G254" s="3"/>
      <c r="H254" s="3"/>
      <c r="K254" s="3"/>
      <c r="L254" s="3"/>
      <c r="O254" s="11"/>
      <c r="P254" s="3"/>
      <c r="Q254" s="9"/>
    </row>
    <row r="255" spans="2:17" x14ac:dyDescent="0.25">
      <c r="B255" s="1"/>
      <c r="E255" s="3"/>
      <c r="F255" s="3"/>
      <c r="G255" s="3"/>
      <c r="H255" s="3"/>
      <c r="K255" s="3"/>
      <c r="L255" s="3"/>
      <c r="O255" s="11"/>
      <c r="P255" s="3"/>
      <c r="Q255" s="9"/>
    </row>
    <row r="256" spans="2:17" x14ac:dyDescent="0.25">
      <c r="B256" s="1"/>
      <c r="E256" s="3"/>
      <c r="F256" s="3"/>
      <c r="G256" s="3"/>
      <c r="H256" s="3"/>
      <c r="K256" s="3"/>
      <c r="L256" s="3"/>
      <c r="O256" s="11"/>
      <c r="P256" s="3"/>
      <c r="Q256" s="9"/>
    </row>
    <row r="257" spans="2:17" x14ac:dyDescent="0.25">
      <c r="B257" s="1"/>
      <c r="E257" s="3"/>
      <c r="F257" s="3"/>
      <c r="G257" s="3"/>
      <c r="H257" s="3"/>
      <c r="K257" s="3"/>
      <c r="L257" s="3"/>
      <c r="O257" s="11"/>
      <c r="P257" s="3"/>
      <c r="Q257" s="9"/>
    </row>
    <row r="258" spans="2:17" x14ac:dyDescent="0.25">
      <c r="B258" s="1"/>
      <c r="E258" s="3"/>
      <c r="F258" s="3"/>
      <c r="G258" s="3"/>
      <c r="H258" s="3"/>
      <c r="K258" s="3"/>
      <c r="L258" s="3"/>
      <c r="O258" s="11"/>
      <c r="P258" s="3"/>
      <c r="Q258" s="9"/>
    </row>
    <row r="259" spans="2:17" x14ac:dyDescent="0.25">
      <c r="B259" s="1"/>
      <c r="E259" s="3"/>
      <c r="F259" s="3"/>
      <c r="G259" s="3"/>
      <c r="H259" s="3"/>
      <c r="K259" s="3"/>
      <c r="L259" s="3"/>
      <c r="O259" s="11"/>
      <c r="P259" s="3"/>
      <c r="Q259" s="9"/>
    </row>
    <row r="260" spans="2:17" x14ac:dyDescent="0.25">
      <c r="B260" s="1"/>
      <c r="E260" s="3"/>
      <c r="F260" s="3"/>
      <c r="G260" s="3"/>
      <c r="H260" s="3"/>
      <c r="K260" s="3"/>
      <c r="L260" s="3"/>
      <c r="O260" s="11"/>
      <c r="P260" s="3"/>
      <c r="Q260" s="9"/>
    </row>
    <row r="261" spans="2:17" x14ac:dyDescent="0.25">
      <c r="B261" s="1"/>
      <c r="E261" s="3"/>
      <c r="F261" s="3"/>
      <c r="G261" s="3"/>
      <c r="H261" s="3"/>
      <c r="K261" s="3"/>
      <c r="L261" s="3"/>
      <c r="O261" s="11"/>
      <c r="P261" s="3"/>
      <c r="Q261" s="9"/>
    </row>
    <row r="262" spans="2:17" x14ac:dyDescent="0.25">
      <c r="B262" s="1"/>
      <c r="E262" s="3"/>
      <c r="F262" s="3"/>
      <c r="G262" s="3"/>
      <c r="H262" s="3"/>
      <c r="K262" s="3"/>
      <c r="L262" s="3"/>
      <c r="O262" s="11"/>
      <c r="P262" s="3"/>
      <c r="Q262" s="9"/>
    </row>
    <row r="263" spans="2:17" x14ac:dyDescent="0.25">
      <c r="B263" s="1"/>
      <c r="E263" s="3"/>
      <c r="F263" s="3"/>
      <c r="G263" s="3"/>
      <c r="H263" s="3"/>
      <c r="K263" s="3"/>
      <c r="L263" s="3"/>
      <c r="O263" s="11"/>
      <c r="P263" s="3"/>
      <c r="Q263" s="9"/>
    </row>
    <row r="264" spans="2:17" x14ac:dyDescent="0.25">
      <c r="B264" s="1"/>
      <c r="E264" s="3"/>
      <c r="F264" s="3"/>
      <c r="G264" s="3"/>
      <c r="H264" s="3"/>
      <c r="K264" s="3"/>
      <c r="L264" s="3"/>
      <c r="O264" s="11"/>
      <c r="P264" s="3"/>
      <c r="Q264" s="9"/>
    </row>
    <row r="265" spans="2:17" x14ac:dyDescent="0.25">
      <c r="B265" s="1"/>
      <c r="E265" s="3"/>
      <c r="F265" s="3"/>
      <c r="G265" s="3"/>
      <c r="H265" s="3"/>
      <c r="K265" s="3"/>
      <c r="L265" s="3"/>
      <c r="O265" s="11"/>
      <c r="P265" s="3"/>
      <c r="Q265" s="9"/>
    </row>
    <row r="266" spans="2:17" x14ac:dyDescent="0.25">
      <c r="B266" s="1"/>
      <c r="E266" s="3"/>
      <c r="F266" s="3"/>
      <c r="G266" s="3"/>
      <c r="H266" s="3"/>
      <c r="K266" s="3"/>
      <c r="L266" s="3"/>
      <c r="O266" s="11"/>
      <c r="P266" s="3"/>
      <c r="Q266" s="9"/>
    </row>
    <row r="267" spans="2:17" x14ac:dyDescent="0.25">
      <c r="B267" s="1"/>
      <c r="E267" s="3"/>
      <c r="F267" s="3"/>
      <c r="G267" s="3"/>
      <c r="H267" s="3"/>
      <c r="K267" s="3"/>
      <c r="L267" s="3"/>
      <c r="O267" s="11"/>
      <c r="P267" s="3"/>
      <c r="Q267" s="9"/>
    </row>
    <row r="268" spans="2:17" x14ac:dyDescent="0.25">
      <c r="B268" s="1"/>
      <c r="E268" s="3"/>
      <c r="F268" s="3"/>
      <c r="G268" s="3"/>
      <c r="H268" s="3"/>
      <c r="K268" s="3"/>
      <c r="L268" s="3"/>
      <c r="O268" s="11"/>
      <c r="P268" s="3"/>
      <c r="Q268" s="9"/>
    </row>
    <row r="269" spans="2:17" x14ac:dyDescent="0.25">
      <c r="B269" s="1"/>
      <c r="E269" s="3"/>
      <c r="F269" s="3"/>
      <c r="G269" s="3"/>
      <c r="H269" s="3"/>
      <c r="K269" s="3"/>
      <c r="L269" s="3"/>
      <c r="O269" s="11"/>
      <c r="P269" s="3"/>
      <c r="Q269" s="9"/>
    </row>
    <row r="270" spans="2:17" x14ac:dyDescent="0.25">
      <c r="B270" s="1"/>
      <c r="E270" s="3"/>
      <c r="F270" s="3"/>
      <c r="G270" s="3"/>
      <c r="H270" s="3"/>
      <c r="K270" s="3"/>
      <c r="L270" s="3"/>
      <c r="O270" s="11"/>
      <c r="P270" s="3"/>
      <c r="Q270" s="9"/>
    </row>
    <row r="271" spans="2:17" x14ac:dyDescent="0.25">
      <c r="B271" s="1"/>
      <c r="E271" s="3"/>
      <c r="F271" s="3"/>
      <c r="G271" s="3"/>
      <c r="H271" s="3"/>
      <c r="K271" s="3"/>
      <c r="L271" s="3"/>
      <c r="O271" s="11"/>
      <c r="P271" s="3"/>
      <c r="Q271" s="9"/>
    </row>
    <row r="272" spans="2:17" x14ac:dyDescent="0.25">
      <c r="B272" s="1"/>
      <c r="E272" s="3"/>
      <c r="F272" s="3"/>
      <c r="G272" s="3"/>
      <c r="H272" s="3"/>
      <c r="K272" s="3"/>
      <c r="L272" s="3"/>
      <c r="O272" s="11"/>
      <c r="P272" s="3"/>
      <c r="Q272" s="9"/>
    </row>
    <row r="273" spans="2:17" x14ac:dyDescent="0.25">
      <c r="B273" s="1"/>
      <c r="E273" s="3"/>
      <c r="F273" s="3"/>
      <c r="G273" s="3"/>
      <c r="H273" s="3"/>
      <c r="K273" s="3"/>
      <c r="L273" s="3"/>
      <c r="O273" s="11"/>
      <c r="P273" s="3"/>
      <c r="Q273" s="9"/>
    </row>
    <row r="274" spans="2:17" x14ac:dyDescent="0.25">
      <c r="B274" s="1"/>
      <c r="E274" s="3"/>
      <c r="F274" s="3"/>
      <c r="G274" s="3"/>
      <c r="H274" s="3"/>
      <c r="K274" s="3"/>
      <c r="L274" s="3"/>
      <c r="O274" s="11"/>
      <c r="P274" s="3"/>
      <c r="Q274" s="9"/>
    </row>
    <row r="275" spans="2:17" x14ac:dyDescent="0.25">
      <c r="B275" s="1"/>
      <c r="E275" s="3"/>
      <c r="F275" s="3"/>
      <c r="G275" s="3"/>
      <c r="H275" s="3"/>
      <c r="K275" s="3"/>
      <c r="L275" s="3"/>
      <c r="O275" s="11"/>
      <c r="P275" s="3"/>
      <c r="Q275" s="9"/>
    </row>
    <row r="276" spans="2:17" x14ac:dyDescent="0.25">
      <c r="B276" s="1"/>
      <c r="E276" s="3"/>
      <c r="F276" s="3"/>
      <c r="G276" s="3"/>
      <c r="H276" s="3"/>
      <c r="K276" s="3"/>
      <c r="L276" s="3"/>
      <c r="O276" s="11"/>
      <c r="P276" s="3"/>
      <c r="Q276" s="9"/>
    </row>
    <row r="277" spans="2:17" x14ac:dyDescent="0.25">
      <c r="B277" s="1"/>
      <c r="E277" s="3"/>
      <c r="F277" s="3"/>
      <c r="G277" s="3"/>
      <c r="H277" s="3"/>
      <c r="K277" s="3"/>
      <c r="L277" s="3"/>
      <c r="O277" s="11"/>
      <c r="P277" s="3"/>
      <c r="Q277" s="9"/>
    </row>
    <row r="278" spans="2:17" x14ac:dyDescent="0.25">
      <c r="B278" s="1"/>
      <c r="E278" s="3"/>
      <c r="F278" s="3"/>
      <c r="G278" s="3"/>
      <c r="H278" s="3"/>
      <c r="K278" s="3"/>
      <c r="L278" s="3"/>
      <c r="O278" s="11"/>
      <c r="P278" s="3"/>
      <c r="Q278" s="9"/>
    </row>
    <row r="279" spans="2:17" x14ac:dyDescent="0.25">
      <c r="B279" s="1"/>
      <c r="E279" s="3"/>
      <c r="F279" s="3"/>
      <c r="G279" s="3"/>
      <c r="H279" s="3"/>
      <c r="K279" s="3"/>
      <c r="L279" s="3"/>
      <c r="O279" s="11"/>
      <c r="P279" s="3"/>
      <c r="Q279" s="9"/>
    </row>
    <row r="280" spans="2:17" x14ac:dyDescent="0.25">
      <c r="B280" s="1"/>
      <c r="E280" s="3"/>
      <c r="F280" s="3"/>
      <c r="G280" s="3"/>
      <c r="H280" s="3"/>
      <c r="K280" s="3"/>
      <c r="L280" s="3"/>
      <c r="O280" s="11"/>
      <c r="P280" s="3"/>
      <c r="Q280" s="9"/>
    </row>
    <row r="281" spans="2:17" x14ac:dyDescent="0.25">
      <c r="B281" s="1"/>
      <c r="E281" s="3"/>
      <c r="F281" s="3"/>
      <c r="G281" s="3"/>
      <c r="H281" s="3"/>
      <c r="K281" s="3"/>
      <c r="L281" s="3"/>
      <c r="O281" s="11"/>
      <c r="P281" s="3"/>
      <c r="Q281" s="9"/>
    </row>
    <row r="282" spans="2:17" x14ac:dyDescent="0.25">
      <c r="B282" s="1"/>
      <c r="E282" s="3"/>
      <c r="F282" s="3"/>
      <c r="G282" s="3"/>
      <c r="H282" s="3"/>
      <c r="K282" s="3"/>
      <c r="L282" s="3"/>
      <c r="O282" s="11"/>
      <c r="P282" s="3"/>
      <c r="Q282" s="9"/>
    </row>
    <row r="283" spans="2:17" x14ac:dyDescent="0.25">
      <c r="B283" s="1"/>
      <c r="E283" s="3"/>
      <c r="F283" s="3"/>
      <c r="G283" s="3"/>
      <c r="H283" s="3"/>
      <c r="K283" s="3"/>
      <c r="L283" s="3"/>
      <c r="O283" s="11"/>
      <c r="P283" s="3"/>
      <c r="Q283" s="9"/>
    </row>
    <row r="284" spans="2:17" x14ac:dyDescent="0.25">
      <c r="B284" s="1"/>
      <c r="E284" s="3"/>
      <c r="F284" s="3"/>
      <c r="G284" s="3"/>
      <c r="H284" s="3"/>
      <c r="K284" s="3"/>
      <c r="L284" s="3"/>
      <c r="O284" s="11"/>
      <c r="P284" s="3"/>
      <c r="Q284" s="9"/>
    </row>
    <row r="285" spans="2:17" x14ac:dyDescent="0.25">
      <c r="B285" s="1"/>
      <c r="E285" s="3"/>
      <c r="F285" s="3"/>
      <c r="G285" s="3"/>
      <c r="H285" s="3"/>
      <c r="K285" s="3"/>
      <c r="L285" s="3"/>
      <c r="O285" s="11"/>
      <c r="P285" s="3"/>
      <c r="Q285" s="9"/>
    </row>
    <row r="286" spans="2:17" x14ac:dyDescent="0.25">
      <c r="B286" s="1"/>
      <c r="E286" s="3"/>
      <c r="F286" s="3"/>
      <c r="G286" s="3"/>
      <c r="H286" s="3"/>
      <c r="K286" s="3"/>
      <c r="L286" s="3"/>
      <c r="O286" s="11"/>
      <c r="P286" s="3"/>
      <c r="Q286" s="9"/>
    </row>
    <row r="287" spans="2:17" x14ac:dyDescent="0.25">
      <c r="B287" s="1"/>
      <c r="E287" s="3"/>
      <c r="F287" s="3"/>
      <c r="G287" s="3"/>
      <c r="H287" s="3"/>
      <c r="K287" s="3"/>
      <c r="L287" s="3"/>
      <c r="O287" s="11"/>
      <c r="P287" s="3"/>
      <c r="Q287" s="9"/>
    </row>
    <row r="288" spans="2:17" x14ac:dyDescent="0.25">
      <c r="B288" s="1"/>
      <c r="E288" s="3"/>
      <c r="F288" s="3"/>
      <c r="G288" s="3"/>
      <c r="H288" s="3"/>
      <c r="K288" s="3"/>
      <c r="L288" s="3"/>
      <c r="O288" s="11"/>
      <c r="P288" s="3"/>
      <c r="Q288" s="9"/>
    </row>
    <row r="289" spans="2:17" x14ac:dyDescent="0.25">
      <c r="B289" s="1"/>
      <c r="E289" s="3"/>
      <c r="F289" s="3"/>
      <c r="G289" s="3"/>
      <c r="H289" s="3"/>
      <c r="K289" s="3"/>
      <c r="L289" s="3"/>
      <c r="O289" s="11"/>
      <c r="P289" s="3"/>
      <c r="Q289" s="9"/>
    </row>
    <row r="290" spans="2:17" x14ac:dyDescent="0.25">
      <c r="B290" s="1"/>
      <c r="E290" s="3"/>
      <c r="F290" s="3"/>
      <c r="G290" s="3"/>
      <c r="H290" s="3"/>
      <c r="K290" s="3"/>
      <c r="L290" s="3"/>
      <c r="O290" s="11"/>
      <c r="P290" s="3"/>
      <c r="Q290" s="9"/>
    </row>
    <row r="291" spans="2:17" x14ac:dyDescent="0.25">
      <c r="B291" s="1"/>
      <c r="E291" s="3"/>
      <c r="F291" s="3"/>
      <c r="G291" s="3"/>
      <c r="H291" s="3"/>
      <c r="K291" s="3"/>
      <c r="L291" s="3"/>
      <c r="O291" s="11"/>
      <c r="P291" s="3"/>
      <c r="Q291" s="9"/>
    </row>
    <row r="292" spans="2:17" x14ac:dyDescent="0.25">
      <c r="B292" s="1"/>
      <c r="E292" s="3"/>
      <c r="F292" s="3"/>
      <c r="G292" s="3"/>
      <c r="H292" s="3"/>
      <c r="K292" s="3"/>
      <c r="L292" s="3"/>
      <c r="O292" s="11"/>
      <c r="P292" s="3"/>
      <c r="Q292" s="9"/>
    </row>
    <row r="293" spans="2:17" x14ac:dyDescent="0.25">
      <c r="B293" s="1"/>
      <c r="E293" s="3"/>
      <c r="F293" s="3"/>
      <c r="G293" s="3"/>
      <c r="H293" s="3"/>
      <c r="K293" s="3"/>
      <c r="L293" s="3"/>
      <c r="O293" s="11"/>
      <c r="P293" s="3"/>
      <c r="Q293" s="9"/>
    </row>
    <row r="294" spans="2:17" x14ac:dyDescent="0.25">
      <c r="B294" s="1"/>
      <c r="E294" s="3"/>
      <c r="F294" s="3"/>
      <c r="G294" s="3"/>
      <c r="H294" s="3"/>
      <c r="K294" s="3"/>
      <c r="L294" s="3"/>
      <c r="O294" s="11"/>
      <c r="P294" s="3"/>
      <c r="Q294" s="9"/>
    </row>
    <row r="295" spans="2:17" x14ac:dyDescent="0.25">
      <c r="B295" s="1"/>
      <c r="E295" s="3"/>
      <c r="F295" s="3"/>
      <c r="G295" s="3"/>
      <c r="H295" s="3"/>
      <c r="K295" s="3"/>
      <c r="L295" s="3"/>
      <c r="O295" s="11"/>
      <c r="P295" s="3"/>
      <c r="Q295" s="9"/>
    </row>
    <row r="296" spans="2:17" x14ac:dyDescent="0.25">
      <c r="B296" s="1"/>
      <c r="E296" s="3"/>
      <c r="F296" s="3"/>
      <c r="G296" s="3"/>
      <c r="H296" s="3"/>
      <c r="K296" s="3"/>
      <c r="L296" s="3"/>
      <c r="O296" s="11"/>
      <c r="P296" s="3"/>
      <c r="Q296" s="9"/>
    </row>
    <row r="297" spans="2:17" x14ac:dyDescent="0.25">
      <c r="B297" s="1"/>
      <c r="E297" s="3"/>
      <c r="F297" s="3"/>
      <c r="G297" s="3"/>
      <c r="H297" s="3"/>
      <c r="K297" s="3"/>
      <c r="L297" s="3"/>
      <c r="O297" s="11"/>
      <c r="P297" s="3"/>
      <c r="Q297" s="9"/>
    </row>
    <row r="298" spans="2:17" x14ac:dyDescent="0.25">
      <c r="B298" s="1"/>
      <c r="E298" s="3"/>
      <c r="F298" s="3"/>
      <c r="G298" s="3"/>
      <c r="H298" s="3"/>
      <c r="K298" s="3"/>
      <c r="L298" s="3"/>
      <c r="O298" s="11"/>
      <c r="P298" s="3"/>
      <c r="Q298" s="9"/>
    </row>
    <row r="299" spans="2:17" x14ac:dyDescent="0.25">
      <c r="B299" s="1"/>
      <c r="E299" s="3"/>
      <c r="F299" s="3"/>
      <c r="G299" s="3"/>
      <c r="H299" s="3"/>
      <c r="K299" s="3"/>
      <c r="L299" s="3"/>
      <c r="O299" s="11"/>
      <c r="P299" s="3"/>
      <c r="Q299" s="9"/>
    </row>
    <row r="300" spans="2:17" x14ac:dyDescent="0.25">
      <c r="B300" s="1"/>
      <c r="E300" s="3"/>
      <c r="F300" s="3"/>
      <c r="G300" s="3"/>
      <c r="H300" s="3"/>
      <c r="K300" s="3"/>
      <c r="L300" s="3"/>
      <c r="O300" s="11"/>
      <c r="P300" s="3"/>
      <c r="Q300" s="9"/>
    </row>
    <row r="301" spans="2:17" x14ac:dyDescent="0.25">
      <c r="B301" s="1"/>
      <c r="E301" s="3"/>
      <c r="F301" s="3"/>
      <c r="G301" s="3"/>
      <c r="H301" s="3"/>
      <c r="K301" s="3"/>
      <c r="L301" s="3"/>
      <c r="O301" s="11"/>
      <c r="P301" s="3"/>
      <c r="Q301" s="9"/>
    </row>
    <row r="302" spans="2:17" x14ac:dyDescent="0.25">
      <c r="B302" s="1"/>
      <c r="E302" s="3"/>
      <c r="F302" s="3"/>
      <c r="G302" s="3"/>
      <c r="H302" s="3"/>
      <c r="K302" s="3"/>
      <c r="L302" s="3"/>
      <c r="O302" s="11"/>
      <c r="P302" s="3"/>
      <c r="Q302" s="9"/>
    </row>
    <row r="303" spans="2:17" x14ac:dyDescent="0.25">
      <c r="B303" s="1"/>
      <c r="E303" s="3"/>
      <c r="F303" s="3"/>
      <c r="G303" s="3"/>
      <c r="H303" s="3"/>
      <c r="K303" s="3"/>
      <c r="L303" s="3"/>
      <c r="O303" s="11"/>
      <c r="P303" s="3"/>
      <c r="Q303" s="9"/>
    </row>
    <row r="304" spans="2:17" x14ac:dyDescent="0.25">
      <c r="B304" s="1"/>
      <c r="E304" s="3"/>
      <c r="F304" s="3"/>
      <c r="G304" s="3"/>
      <c r="H304" s="3"/>
      <c r="K304" s="3"/>
      <c r="L304" s="3"/>
      <c r="O304" s="11"/>
      <c r="P304" s="3"/>
      <c r="Q304" s="9"/>
    </row>
    <row r="305" spans="2:17" x14ac:dyDescent="0.25">
      <c r="B305" s="1"/>
      <c r="E305" s="3"/>
      <c r="F305" s="3"/>
      <c r="G305" s="3"/>
      <c r="H305" s="3"/>
      <c r="K305" s="3"/>
      <c r="L305" s="3"/>
      <c r="O305" s="11"/>
      <c r="P305" s="3"/>
      <c r="Q305" s="9"/>
    </row>
    <row r="306" spans="2:17" x14ac:dyDescent="0.25">
      <c r="B306" s="1"/>
      <c r="E306" s="3"/>
      <c r="F306" s="3"/>
      <c r="G306" s="3"/>
      <c r="H306" s="3"/>
      <c r="K306" s="3"/>
      <c r="L306" s="3"/>
      <c r="O306" s="11"/>
      <c r="P306" s="3"/>
      <c r="Q306" s="9"/>
    </row>
    <row r="307" spans="2:17" x14ac:dyDescent="0.25">
      <c r="B307" s="1"/>
      <c r="E307" s="3"/>
      <c r="F307" s="3"/>
      <c r="G307" s="3"/>
      <c r="H307" s="3"/>
      <c r="K307" s="3"/>
      <c r="L307" s="3"/>
      <c r="O307" s="11"/>
      <c r="P307" s="3"/>
      <c r="Q307" s="9"/>
    </row>
    <row r="308" spans="2:17" x14ac:dyDescent="0.25">
      <c r="B308" s="1"/>
      <c r="E308" s="3"/>
      <c r="F308" s="3"/>
      <c r="G308" s="3"/>
      <c r="H308" s="3"/>
      <c r="K308" s="3"/>
      <c r="L308" s="3"/>
      <c r="O308" s="11"/>
      <c r="P308" s="3"/>
      <c r="Q308" s="9"/>
    </row>
    <row r="309" spans="2:17" x14ac:dyDescent="0.25">
      <c r="B309" s="1"/>
      <c r="E309" s="3"/>
      <c r="F309" s="3"/>
      <c r="G309" s="3"/>
      <c r="H309" s="3"/>
      <c r="K309" s="3"/>
      <c r="L309" s="3"/>
      <c r="O309" s="11"/>
      <c r="P309" s="3"/>
      <c r="Q309" s="9"/>
    </row>
    <row r="310" spans="2:17" x14ac:dyDescent="0.25">
      <c r="B310" s="1"/>
      <c r="E310" s="3"/>
      <c r="F310" s="3"/>
      <c r="G310" s="3"/>
      <c r="H310" s="3"/>
      <c r="K310" s="3"/>
      <c r="L310" s="3"/>
      <c r="O310" s="11"/>
      <c r="P310" s="3"/>
      <c r="Q310" s="9"/>
    </row>
    <row r="311" spans="2:17" x14ac:dyDescent="0.25">
      <c r="B311" s="1"/>
      <c r="E311" s="3"/>
      <c r="F311" s="3"/>
      <c r="G311" s="3"/>
      <c r="H311" s="3"/>
      <c r="K311" s="3"/>
      <c r="L311" s="3"/>
      <c r="O311" s="11"/>
      <c r="P311" s="3"/>
      <c r="Q311" s="9"/>
    </row>
    <row r="312" spans="2:17" x14ac:dyDescent="0.25">
      <c r="B312" s="1"/>
      <c r="E312" s="3"/>
      <c r="F312" s="3"/>
      <c r="G312" s="3"/>
      <c r="H312" s="3"/>
      <c r="K312" s="3"/>
      <c r="L312" s="3"/>
      <c r="O312" s="11"/>
      <c r="P312" s="3"/>
      <c r="Q312" s="9"/>
    </row>
    <row r="313" spans="2:17" x14ac:dyDescent="0.25">
      <c r="B313" s="1"/>
      <c r="E313" s="3"/>
      <c r="F313" s="3"/>
      <c r="G313" s="3"/>
      <c r="H313" s="3"/>
      <c r="K313" s="3"/>
      <c r="L313" s="3"/>
      <c r="O313" s="11"/>
      <c r="P313" s="3"/>
      <c r="Q313" s="9"/>
    </row>
    <row r="314" spans="2:17" x14ac:dyDescent="0.25">
      <c r="B314" s="1"/>
      <c r="E314" s="3"/>
      <c r="F314" s="3"/>
      <c r="G314" s="3"/>
      <c r="H314" s="3"/>
      <c r="K314" s="3"/>
      <c r="L314" s="3"/>
      <c r="O314" s="11"/>
      <c r="P314" s="3"/>
      <c r="Q314" s="9"/>
    </row>
    <row r="315" spans="2:17" x14ac:dyDescent="0.25">
      <c r="B315" s="1"/>
      <c r="E315" s="3"/>
      <c r="F315" s="3"/>
      <c r="G315" s="3"/>
      <c r="H315" s="3"/>
      <c r="K315" s="3"/>
      <c r="L315" s="3"/>
      <c r="O315" s="11"/>
      <c r="P315" s="3"/>
      <c r="Q315" s="9"/>
    </row>
    <row r="316" spans="2:17" x14ac:dyDescent="0.25">
      <c r="B316" s="1"/>
      <c r="E316" s="3"/>
      <c r="F316" s="3"/>
      <c r="G316" s="3"/>
      <c r="H316" s="3"/>
      <c r="K316" s="3"/>
      <c r="L316" s="3"/>
      <c r="O316" s="11"/>
      <c r="P316" s="3"/>
      <c r="Q316" s="9"/>
    </row>
    <row r="317" spans="2:17" x14ac:dyDescent="0.25">
      <c r="B317" s="1"/>
      <c r="E317" s="3"/>
      <c r="F317" s="3"/>
      <c r="G317" s="3"/>
      <c r="H317" s="3"/>
      <c r="K317" s="3"/>
      <c r="L317" s="3"/>
      <c r="O317" s="11"/>
      <c r="P317" s="3"/>
      <c r="Q317" s="9"/>
    </row>
    <row r="318" spans="2:17" x14ac:dyDescent="0.25">
      <c r="B318" s="1"/>
      <c r="E318" s="3"/>
      <c r="F318" s="3"/>
      <c r="G318" s="3"/>
      <c r="H318" s="3"/>
      <c r="K318" s="3"/>
      <c r="L318" s="3"/>
      <c r="O318" s="11"/>
      <c r="P318" s="3"/>
      <c r="Q318" s="9"/>
    </row>
    <row r="319" spans="2:17" x14ac:dyDescent="0.25">
      <c r="B319" s="1"/>
      <c r="E319" s="3"/>
      <c r="F319" s="3"/>
      <c r="G319" s="3"/>
      <c r="H319" s="3"/>
      <c r="K319" s="3"/>
      <c r="L319" s="3"/>
      <c r="O319" s="11"/>
      <c r="P319" s="3"/>
      <c r="Q319" s="9"/>
    </row>
    <row r="320" spans="2:17" x14ac:dyDescent="0.25">
      <c r="B320" s="1"/>
      <c r="E320" s="3"/>
      <c r="F320" s="3"/>
      <c r="G320" s="3"/>
      <c r="H320" s="3"/>
      <c r="K320" s="3"/>
      <c r="L320" s="3"/>
      <c r="O320" s="11"/>
      <c r="P320" s="3"/>
      <c r="Q320" s="9"/>
    </row>
    <row r="321" spans="2:17" x14ac:dyDescent="0.25">
      <c r="B321" s="1"/>
      <c r="E321" s="3"/>
      <c r="F321" s="3"/>
      <c r="G321" s="3"/>
      <c r="H321" s="3"/>
      <c r="K321" s="3"/>
      <c r="L321" s="3"/>
      <c r="O321" s="11"/>
      <c r="P321" s="3"/>
      <c r="Q321" s="9"/>
    </row>
    <row r="322" spans="2:17" x14ac:dyDescent="0.25">
      <c r="B322" s="1"/>
      <c r="E322" s="3"/>
      <c r="F322" s="3"/>
      <c r="G322" s="3"/>
      <c r="H322" s="3"/>
      <c r="K322" s="3"/>
      <c r="L322" s="3"/>
      <c r="O322" s="11"/>
      <c r="P322" s="3"/>
      <c r="Q322" s="9"/>
    </row>
    <row r="323" spans="2:17" x14ac:dyDescent="0.25">
      <c r="B323" s="1"/>
      <c r="E323" s="3"/>
      <c r="F323" s="3"/>
      <c r="G323" s="3"/>
      <c r="H323" s="3"/>
      <c r="K323" s="3"/>
      <c r="L323" s="3"/>
      <c r="O323" s="11"/>
      <c r="P323" s="3"/>
      <c r="Q323" s="9"/>
    </row>
    <row r="324" spans="2:17" x14ac:dyDescent="0.25">
      <c r="B324" s="1"/>
      <c r="E324" s="3"/>
      <c r="F324" s="3"/>
      <c r="G324" s="3"/>
      <c r="H324" s="3"/>
      <c r="K324" s="3"/>
      <c r="L324" s="3"/>
      <c r="O324" s="11"/>
      <c r="P324" s="3"/>
      <c r="Q324" s="9"/>
    </row>
    <row r="325" spans="2:17" x14ac:dyDescent="0.25">
      <c r="B325" s="1"/>
      <c r="E325" s="3"/>
      <c r="F325" s="3"/>
      <c r="G325" s="3"/>
      <c r="H325" s="3"/>
      <c r="K325" s="3"/>
      <c r="L325" s="3"/>
      <c r="O325" s="11"/>
      <c r="P325" s="3"/>
      <c r="Q325" s="9"/>
    </row>
    <row r="326" spans="2:17" x14ac:dyDescent="0.25">
      <c r="B326" s="1"/>
      <c r="E326" s="3"/>
      <c r="F326" s="3"/>
      <c r="G326" s="3"/>
      <c r="H326" s="3"/>
      <c r="K326" s="3"/>
      <c r="L326" s="3"/>
      <c r="O326" s="11"/>
      <c r="P326" s="3"/>
      <c r="Q326" s="9"/>
    </row>
    <row r="327" spans="2:17" x14ac:dyDescent="0.25">
      <c r="B327" s="1"/>
      <c r="E327" s="3"/>
      <c r="F327" s="3"/>
      <c r="G327" s="3"/>
      <c r="H327" s="3"/>
      <c r="K327" s="3"/>
      <c r="L327" s="3"/>
      <c r="O327" s="11"/>
      <c r="P327" s="3"/>
      <c r="Q327" s="9"/>
    </row>
    <row r="328" spans="2:17" x14ac:dyDescent="0.25">
      <c r="B328" s="1"/>
      <c r="E328" s="3"/>
      <c r="F328" s="3"/>
      <c r="G328" s="3"/>
      <c r="H328" s="3"/>
      <c r="K328" s="3"/>
      <c r="L328" s="3"/>
      <c r="O328" s="11"/>
      <c r="P328" s="3"/>
      <c r="Q328" s="9"/>
    </row>
    <row r="329" spans="2:17" x14ac:dyDescent="0.25">
      <c r="B329" s="1"/>
      <c r="E329" s="3"/>
      <c r="F329" s="3"/>
      <c r="G329" s="3"/>
      <c r="H329" s="3"/>
      <c r="K329" s="3"/>
      <c r="L329" s="3"/>
      <c r="O329" s="11"/>
      <c r="P329" s="3"/>
      <c r="Q329" s="9"/>
    </row>
    <row r="330" spans="2:17" x14ac:dyDescent="0.25">
      <c r="B330" s="1"/>
      <c r="E330" s="3"/>
      <c r="F330" s="3"/>
      <c r="G330" s="3"/>
      <c r="H330" s="3"/>
      <c r="K330" s="3"/>
      <c r="L330" s="3"/>
      <c r="O330" s="11"/>
      <c r="P330" s="3"/>
      <c r="Q330" s="9"/>
    </row>
    <row r="331" spans="2:17" x14ac:dyDescent="0.25">
      <c r="B331" s="1"/>
      <c r="E331" s="3"/>
      <c r="F331" s="3"/>
      <c r="G331" s="3"/>
      <c r="H331" s="3"/>
      <c r="K331" s="3"/>
      <c r="L331" s="3"/>
      <c r="O331" s="11"/>
      <c r="P331" s="3"/>
      <c r="Q331" s="9"/>
    </row>
    <row r="332" spans="2:17" x14ac:dyDescent="0.25">
      <c r="B332" s="1"/>
      <c r="E332" s="3"/>
      <c r="F332" s="3"/>
      <c r="G332" s="3"/>
      <c r="H332" s="3"/>
      <c r="K332" s="3"/>
      <c r="L332" s="3"/>
      <c r="O332" s="11"/>
      <c r="P332" s="3"/>
      <c r="Q332" s="9"/>
    </row>
    <row r="333" spans="2:17" x14ac:dyDescent="0.25">
      <c r="B333" s="1"/>
      <c r="E333" s="3"/>
      <c r="F333" s="3"/>
      <c r="G333" s="3"/>
      <c r="H333" s="3"/>
      <c r="K333" s="3"/>
      <c r="L333" s="3"/>
      <c r="O333" s="11"/>
      <c r="P333" s="3"/>
      <c r="Q333" s="9"/>
    </row>
    <row r="334" spans="2:17" x14ac:dyDescent="0.25">
      <c r="B334" s="1"/>
      <c r="E334" s="3"/>
      <c r="F334" s="3"/>
      <c r="G334" s="3"/>
      <c r="H334" s="3"/>
      <c r="K334" s="3"/>
      <c r="L334" s="3"/>
      <c r="O334" s="11"/>
      <c r="P334" s="3"/>
      <c r="Q334" s="9"/>
    </row>
    <row r="335" spans="2:17" x14ac:dyDescent="0.25">
      <c r="B335" s="1"/>
      <c r="E335" s="3"/>
      <c r="F335" s="3"/>
      <c r="G335" s="3"/>
      <c r="H335" s="3"/>
      <c r="K335" s="3"/>
      <c r="L335" s="3"/>
      <c r="O335" s="11"/>
      <c r="P335" s="3"/>
      <c r="Q335" s="9"/>
    </row>
    <row r="336" spans="2:17" x14ac:dyDescent="0.25">
      <c r="B336" s="1"/>
      <c r="E336" s="3"/>
      <c r="F336" s="3"/>
      <c r="G336" s="3"/>
      <c r="H336" s="3"/>
      <c r="K336" s="3"/>
      <c r="L336" s="3"/>
      <c r="O336" s="11"/>
      <c r="P336" s="3"/>
      <c r="Q336" s="9"/>
    </row>
    <row r="337" spans="2:17" x14ac:dyDescent="0.25">
      <c r="B337" s="1"/>
      <c r="E337" s="3"/>
      <c r="F337" s="3"/>
      <c r="G337" s="3"/>
      <c r="H337" s="3"/>
      <c r="K337" s="3"/>
      <c r="L337" s="3"/>
      <c r="O337" s="11"/>
      <c r="P337" s="3"/>
      <c r="Q337" s="9"/>
    </row>
    <row r="338" spans="2:17" x14ac:dyDescent="0.25">
      <c r="B338" s="1"/>
      <c r="E338" s="3"/>
      <c r="F338" s="3"/>
      <c r="G338" s="3"/>
      <c r="H338" s="3"/>
      <c r="K338" s="3"/>
      <c r="L338" s="3"/>
      <c r="O338" s="11"/>
      <c r="P338" s="3"/>
      <c r="Q338" s="9"/>
    </row>
    <row r="339" spans="2:17" x14ac:dyDescent="0.25">
      <c r="B339" s="1"/>
      <c r="E339" s="3"/>
      <c r="F339" s="3"/>
      <c r="G339" s="3"/>
      <c r="H339" s="3"/>
      <c r="K339" s="3"/>
      <c r="L339" s="3"/>
      <c r="O339" s="11"/>
      <c r="P339" s="3"/>
      <c r="Q339" s="9"/>
    </row>
    <row r="340" spans="2:17" x14ac:dyDescent="0.25">
      <c r="B340" s="1"/>
      <c r="E340" s="3"/>
      <c r="F340" s="3"/>
      <c r="G340" s="3"/>
      <c r="H340" s="3"/>
      <c r="K340" s="3"/>
      <c r="L340" s="3"/>
      <c r="O340" s="11"/>
      <c r="P340" s="3"/>
      <c r="Q340" s="9"/>
    </row>
    <row r="341" spans="2:17" x14ac:dyDescent="0.25">
      <c r="B341" s="1"/>
      <c r="E341" s="3"/>
      <c r="F341" s="3"/>
      <c r="G341" s="3"/>
      <c r="H341" s="3"/>
      <c r="K341" s="3"/>
      <c r="L341" s="3"/>
      <c r="O341" s="11"/>
      <c r="P341" s="3"/>
      <c r="Q341" s="9"/>
    </row>
    <row r="342" spans="2:17" x14ac:dyDescent="0.25">
      <c r="B342" s="1"/>
      <c r="E342" s="3"/>
      <c r="F342" s="3"/>
      <c r="G342" s="3"/>
      <c r="H342" s="3"/>
      <c r="K342" s="3"/>
      <c r="L342" s="3"/>
      <c r="O342" s="11"/>
      <c r="P342" s="3"/>
      <c r="Q342" s="9"/>
    </row>
    <row r="343" spans="2:17" x14ac:dyDescent="0.25">
      <c r="B343" s="1"/>
      <c r="E343" s="3"/>
      <c r="F343" s="3"/>
      <c r="G343" s="3"/>
      <c r="H343" s="3"/>
      <c r="K343" s="3"/>
      <c r="L343" s="3"/>
      <c r="O343" s="11"/>
      <c r="P343" s="3"/>
      <c r="Q343" s="9"/>
    </row>
    <row r="344" spans="2:17" x14ac:dyDescent="0.25">
      <c r="B344" s="1"/>
      <c r="E344" s="3"/>
      <c r="F344" s="3"/>
      <c r="G344" s="3"/>
      <c r="H344" s="3"/>
      <c r="K344" s="3"/>
      <c r="L344" s="3"/>
      <c r="O344" s="11"/>
      <c r="P344" s="3"/>
      <c r="Q344" s="9"/>
    </row>
    <row r="345" spans="2:17" x14ac:dyDescent="0.25">
      <c r="B345" s="1"/>
      <c r="E345" s="3"/>
      <c r="F345" s="3"/>
      <c r="G345" s="3"/>
      <c r="H345" s="3"/>
      <c r="K345" s="3"/>
      <c r="L345" s="3"/>
      <c r="O345" s="11"/>
      <c r="P345" s="3"/>
      <c r="Q345" s="9"/>
    </row>
    <row r="346" spans="2:17" x14ac:dyDescent="0.25">
      <c r="B346" s="1"/>
      <c r="E346" s="3"/>
      <c r="F346" s="3"/>
      <c r="G346" s="3"/>
      <c r="H346" s="3"/>
      <c r="K346" s="3"/>
      <c r="L346" s="3"/>
      <c r="O346" s="11"/>
      <c r="P346" s="3"/>
      <c r="Q346" s="9"/>
    </row>
    <row r="347" spans="2:17" x14ac:dyDescent="0.25">
      <c r="B347" s="1"/>
      <c r="E347" s="3"/>
      <c r="F347" s="3"/>
      <c r="G347" s="3"/>
      <c r="H347" s="3"/>
      <c r="K347" s="3"/>
      <c r="L347" s="3"/>
      <c r="O347" s="11"/>
      <c r="P347" s="3"/>
      <c r="Q347" s="9"/>
    </row>
    <row r="348" spans="2:17" x14ac:dyDescent="0.25">
      <c r="B348" s="1"/>
      <c r="E348" s="3"/>
      <c r="F348" s="3"/>
      <c r="G348" s="3"/>
      <c r="H348" s="3"/>
      <c r="K348" s="3"/>
      <c r="L348" s="3"/>
      <c r="O348" s="11"/>
      <c r="P348" s="3"/>
      <c r="Q348" s="9"/>
    </row>
    <row r="349" spans="2:17" x14ac:dyDescent="0.25">
      <c r="B349" s="1"/>
      <c r="E349" s="3"/>
      <c r="F349" s="3"/>
      <c r="G349" s="3"/>
      <c r="H349" s="3"/>
      <c r="K349" s="3"/>
      <c r="L349" s="3"/>
      <c r="O349" s="11"/>
      <c r="P349" s="3"/>
      <c r="Q349" s="9"/>
    </row>
    <row r="350" spans="2:17" x14ac:dyDescent="0.25">
      <c r="B350" s="1"/>
      <c r="E350" s="3"/>
      <c r="F350" s="3"/>
      <c r="G350" s="3"/>
      <c r="H350" s="3"/>
      <c r="K350" s="3"/>
      <c r="L350" s="3"/>
      <c r="O350" s="11"/>
      <c r="P350" s="3"/>
      <c r="Q350" s="9"/>
    </row>
    <row r="351" spans="2:17" x14ac:dyDescent="0.25">
      <c r="B351" s="1"/>
      <c r="E351" s="3"/>
      <c r="F351" s="3"/>
      <c r="G351" s="3"/>
      <c r="H351" s="3"/>
      <c r="K351" s="3"/>
      <c r="L351" s="3"/>
      <c r="O351" s="11"/>
      <c r="P351" s="3"/>
      <c r="Q351" s="9"/>
    </row>
    <row r="352" spans="2:17" x14ac:dyDescent="0.25">
      <c r="B352" s="1"/>
      <c r="E352" s="3"/>
      <c r="F352" s="3"/>
      <c r="G352" s="3"/>
      <c r="H352" s="3"/>
      <c r="K352" s="3"/>
      <c r="L352" s="3"/>
      <c r="O352" s="11"/>
      <c r="P352" s="3"/>
      <c r="Q352" s="9"/>
    </row>
    <row r="353" spans="2:17" x14ac:dyDescent="0.25">
      <c r="B353" s="1"/>
      <c r="E353" s="3"/>
      <c r="F353" s="3"/>
      <c r="G353" s="3"/>
      <c r="H353" s="3"/>
      <c r="K353" s="3"/>
      <c r="L353" s="3"/>
      <c r="O353" s="11"/>
      <c r="P353" s="3"/>
      <c r="Q353" s="9"/>
    </row>
    <row r="354" spans="2:17" x14ac:dyDescent="0.25">
      <c r="B354" s="1"/>
      <c r="E354" s="3"/>
      <c r="F354" s="3"/>
      <c r="G354" s="3"/>
      <c r="H354" s="3"/>
      <c r="K354" s="3"/>
      <c r="L354" s="3"/>
      <c r="O354" s="11"/>
      <c r="P354" s="3"/>
      <c r="Q354" s="9"/>
    </row>
    <row r="355" spans="2:17" x14ac:dyDescent="0.25">
      <c r="B355" s="1"/>
      <c r="E355" s="3"/>
      <c r="F355" s="3"/>
      <c r="G355" s="3"/>
      <c r="H355" s="3"/>
      <c r="K355" s="3"/>
      <c r="L355" s="3"/>
      <c r="O355" s="11"/>
      <c r="P355" s="3"/>
      <c r="Q355" s="9"/>
    </row>
    <row r="356" spans="2:17" x14ac:dyDescent="0.25">
      <c r="B356" s="1"/>
      <c r="E356" s="3"/>
      <c r="F356" s="3"/>
      <c r="G356" s="3"/>
      <c r="H356" s="3"/>
      <c r="K356" s="3"/>
      <c r="L356" s="3"/>
      <c r="O356" s="11"/>
      <c r="P356" s="3"/>
      <c r="Q356" s="9"/>
    </row>
    <row r="357" spans="2:17" x14ac:dyDescent="0.25">
      <c r="B357" s="1"/>
      <c r="E357" s="3"/>
      <c r="F357" s="3"/>
      <c r="G357" s="3"/>
      <c r="H357" s="3"/>
      <c r="K357" s="3"/>
      <c r="L357" s="3"/>
      <c r="O357" s="11"/>
      <c r="P357" s="3"/>
      <c r="Q357" s="9"/>
    </row>
    <row r="358" spans="2:17" x14ac:dyDescent="0.25">
      <c r="B358" s="1"/>
      <c r="E358" s="3"/>
      <c r="F358" s="3"/>
      <c r="G358" s="3"/>
      <c r="H358" s="3"/>
      <c r="K358" s="3"/>
      <c r="L358" s="3"/>
      <c r="O358" s="11"/>
      <c r="P358" s="3"/>
      <c r="Q358" s="9"/>
    </row>
    <row r="359" spans="2:17" x14ac:dyDescent="0.25">
      <c r="B359" s="1"/>
      <c r="E359" s="3"/>
      <c r="F359" s="3"/>
      <c r="G359" s="3"/>
      <c r="H359" s="3"/>
      <c r="K359" s="3"/>
      <c r="L359" s="3"/>
      <c r="O359" s="11"/>
      <c r="P359" s="3"/>
      <c r="Q359" s="9"/>
    </row>
    <row r="360" spans="2:17" x14ac:dyDescent="0.25">
      <c r="B360" s="1"/>
      <c r="E360" s="3"/>
      <c r="F360" s="3"/>
      <c r="G360" s="3"/>
      <c r="H360" s="3"/>
      <c r="K360" s="3"/>
      <c r="L360" s="3"/>
      <c r="O360" s="11"/>
      <c r="P360" s="3"/>
      <c r="Q360" s="9"/>
    </row>
    <row r="361" spans="2:17" x14ac:dyDescent="0.25">
      <c r="B361" s="1"/>
      <c r="E361" s="3"/>
      <c r="F361" s="3"/>
      <c r="G361" s="3"/>
      <c r="H361" s="3"/>
      <c r="K361" s="3"/>
      <c r="L361" s="3"/>
      <c r="O361" s="11"/>
      <c r="P361" s="3"/>
      <c r="Q361" s="9"/>
    </row>
    <row r="362" spans="2:17" x14ac:dyDescent="0.25">
      <c r="B362" s="1"/>
      <c r="E362" s="3"/>
      <c r="F362" s="3"/>
      <c r="G362" s="3"/>
      <c r="H362" s="3"/>
      <c r="K362" s="3"/>
      <c r="L362" s="3"/>
      <c r="O362" s="11"/>
      <c r="P362" s="3"/>
      <c r="Q362" s="9"/>
    </row>
    <row r="363" spans="2:17" x14ac:dyDescent="0.25">
      <c r="B363" s="1"/>
      <c r="E363" s="3"/>
      <c r="F363" s="3"/>
      <c r="G363" s="3"/>
      <c r="H363" s="3"/>
      <c r="K363" s="3"/>
      <c r="L363" s="3"/>
      <c r="O363" s="11"/>
      <c r="P363" s="3"/>
      <c r="Q363" s="9"/>
    </row>
    <row r="364" spans="2:17" x14ac:dyDescent="0.25">
      <c r="B364" s="1"/>
      <c r="E364" s="3"/>
      <c r="F364" s="3"/>
      <c r="G364" s="3"/>
      <c r="H364" s="3"/>
      <c r="K364" s="3"/>
      <c r="L364" s="3"/>
      <c r="O364" s="11"/>
      <c r="P364" s="3"/>
      <c r="Q364" s="9"/>
    </row>
    <row r="365" spans="2:17" x14ac:dyDescent="0.25">
      <c r="B365" s="1"/>
      <c r="E365" s="3"/>
      <c r="F365" s="3"/>
      <c r="G365" s="3"/>
      <c r="H365" s="3"/>
      <c r="K365" s="3"/>
      <c r="L365" s="3"/>
      <c r="O365" s="11"/>
      <c r="P365" s="3"/>
      <c r="Q365" s="9"/>
    </row>
    <row r="366" spans="2:17" x14ac:dyDescent="0.25">
      <c r="B366" s="1"/>
      <c r="E366" s="3"/>
      <c r="F366" s="3"/>
      <c r="G366" s="3"/>
      <c r="H366" s="3"/>
      <c r="K366" s="3"/>
      <c r="L366" s="3"/>
      <c r="O366" s="11"/>
      <c r="P366" s="3"/>
      <c r="Q366" s="9"/>
    </row>
    <row r="367" spans="2:17" x14ac:dyDescent="0.25">
      <c r="B367" s="1"/>
      <c r="E367" s="3"/>
      <c r="F367" s="3"/>
      <c r="G367" s="3"/>
      <c r="H367" s="3"/>
      <c r="K367" s="3"/>
      <c r="L367" s="3"/>
      <c r="O367" s="11"/>
      <c r="P367" s="3"/>
      <c r="Q367" s="9"/>
    </row>
    <row r="368" spans="2:17" x14ac:dyDescent="0.25">
      <c r="B368" s="1"/>
      <c r="E368" s="3"/>
      <c r="F368" s="3"/>
      <c r="G368" s="3"/>
      <c r="H368" s="3"/>
      <c r="K368" s="3"/>
      <c r="L368" s="3"/>
      <c r="O368" s="11"/>
      <c r="P368" s="3"/>
      <c r="Q368" s="9"/>
    </row>
    <row r="369" spans="2:17" x14ac:dyDescent="0.25">
      <c r="B369" s="1"/>
      <c r="E369" s="3"/>
      <c r="F369" s="3"/>
      <c r="G369" s="3"/>
      <c r="H369" s="3"/>
      <c r="K369" s="3"/>
      <c r="L369" s="3"/>
      <c r="O369" s="11"/>
      <c r="P369" s="3"/>
      <c r="Q369" s="9"/>
    </row>
    <row r="370" spans="2:17" x14ac:dyDescent="0.25">
      <c r="B370" s="1"/>
      <c r="E370" s="3"/>
      <c r="F370" s="3"/>
      <c r="G370" s="3"/>
      <c r="H370" s="3"/>
      <c r="K370" s="3"/>
      <c r="L370" s="3"/>
      <c r="O370" s="11"/>
      <c r="P370" s="3"/>
      <c r="Q370" s="9"/>
    </row>
    <row r="371" spans="2:17" x14ac:dyDescent="0.25">
      <c r="B371" s="1"/>
      <c r="E371" s="3"/>
      <c r="F371" s="3"/>
      <c r="G371" s="3"/>
      <c r="H371" s="3"/>
      <c r="K371" s="3"/>
      <c r="L371" s="3"/>
      <c r="O371" s="11"/>
      <c r="P371" s="3"/>
      <c r="Q371" s="9"/>
    </row>
    <row r="372" spans="2:17" x14ac:dyDescent="0.25">
      <c r="B372" s="1"/>
      <c r="E372" s="3"/>
      <c r="F372" s="3"/>
      <c r="G372" s="3"/>
      <c r="H372" s="3"/>
      <c r="K372" s="3"/>
      <c r="L372" s="3"/>
      <c r="O372" s="11"/>
      <c r="P372" s="3"/>
      <c r="Q372" s="9"/>
    </row>
    <row r="373" spans="2:17" x14ac:dyDescent="0.25">
      <c r="B373" s="1"/>
      <c r="E373" s="3"/>
      <c r="F373" s="3"/>
      <c r="G373" s="3"/>
      <c r="H373" s="3"/>
      <c r="K373" s="3"/>
      <c r="L373" s="3"/>
      <c r="O373" s="11"/>
      <c r="P373" s="3"/>
      <c r="Q373" s="9"/>
    </row>
    <row r="374" spans="2:17" x14ac:dyDescent="0.25">
      <c r="B374" s="1"/>
      <c r="E374" s="3"/>
      <c r="F374" s="3"/>
      <c r="G374" s="3"/>
      <c r="H374" s="3"/>
      <c r="K374" s="3"/>
      <c r="L374" s="3"/>
      <c r="O374" s="11"/>
      <c r="P374" s="3"/>
      <c r="Q374" s="9"/>
    </row>
    <row r="375" spans="2:17" x14ac:dyDescent="0.25">
      <c r="B375" s="1"/>
      <c r="E375" s="3"/>
      <c r="F375" s="3"/>
      <c r="G375" s="3"/>
      <c r="H375" s="3"/>
      <c r="K375" s="3"/>
      <c r="L375" s="3"/>
      <c r="O375" s="11"/>
      <c r="P375" s="3"/>
      <c r="Q375" s="9"/>
    </row>
    <row r="376" spans="2:17" x14ac:dyDescent="0.25">
      <c r="B376" s="1"/>
      <c r="E376" s="3"/>
      <c r="F376" s="3"/>
      <c r="G376" s="3"/>
      <c r="H376" s="3"/>
      <c r="K376" s="3"/>
      <c r="L376" s="3"/>
      <c r="O376" s="11"/>
      <c r="P376" s="3"/>
      <c r="Q376" s="9"/>
    </row>
    <row r="377" spans="2:17" x14ac:dyDescent="0.25">
      <c r="B377" s="1"/>
      <c r="E377" s="3"/>
      <c r="F377" s="3"/>
      <c r="G377" s="3"/>
      <c r="H377" s="3"/>
      <c r="K377" s="3"/>
      <c r="L377" s="3"/>
      <c r="O377" s="11"/>
      <c r="P377" s="3"/>
      <c r="Q377" s="9"/>
    </row>
    <row r="378" spans="2:17" x14ac:dyDescent="0.25">
      <c r="B378" s="1"/>
      <c r="E378" s="3"/>
      <c r="F378" s="3"/>
      <c r="G378" s="3"/>
      <c r="H378" s="3"/>
      <c r="K378" s="3"/>
      <c r="L378" s="3"/>
      <c r="O378" s="11"/>
      <c r="P378" s="3"/>
      <c r="Q378" s="9"/>
    </row>
    <row r="379" spans="2:17" x14ac:dyDescent="0.25">
      <c r="B379" s="1"/>
      <c r="E379" s="3"/>
      <c r="F379" s="3"/>
      <c r="G379" s="3"/>
      <c r="H379" s="3"/>
      <c r="K379" s="3"/>
      <c r="L379" s="3"/>
      <c r="O379" s="11"/>
      <c r="P379" s="3"/>
      <c r="Q379" s="9"/>
    </row>
    <row r="380" spans="2:17" x14ac:dyDescent="0.25">
      <c r="B380" s="1"/>
      <c r="E380" s="3"/>
      <c r="F380" s="3"/>
      <c r="G380" s="3"/>
      <c r="H380" s="3"/>
      <c r="K380" s="3"/>
      <c r="L380" s="3"/>
      <c r="O380" s="11"/>
      <c r="P380" s="3"/>
      <c r="Q380" s="9"/>
    </row>
    <row r="381" spans="2:17" x14ac:dyDescent="0.25">
      <c r="B381" s="1"/>
      <c r="E381" s="3"/>
      <c r="F381" s="3"/>
      <c r="G381" s="3"/>
      <c r="H381" s="3"/>
      <c r="K381" s="3"/>
      <c r="L381" s="3"/>
      <c r="O381" s="11"/>
      <c r="P381" s="3"/>
      <c r="Q381" s="9"/>
    </row>
    <row r="382" spans="2:17" x14ac:dyDescent="0.25">
      <c r="B382" s="1"/>
      <c r="E382" s="3"/>
      <c r="F382" s="3"/>
      <c r="G382" s="3"/>
      <c r="H382" s="3"/>
      <c r="K382" s="3"/>
      <c r="L382" s="3"/>
      <c r="O382" s="11"/>
      <c r="P382" s="3"/>
      <c r="Q382" s="9"/>
    </row>
    <row r="383" spans="2:17" x14ac:dyDescent="0.25">
      <c r="B383" s="1"/>
      <c r="E383" s="3"/>
      <c r="F383" s="3"/>
      <c r="G383" s="3"/>
      <c r="H383" s="3"/>
      <c r="K383" s="3"/>
      <c r="L383" s="3"/>
      <c r="O383" s="11"/>
      <c r="P383" s="3"/>
      <c r="Q383" s="9"/>
    </row>
    <row r="384" spans="2:17" x14ac:dyDescent="0.25">
      <c r="B384" s="1"/>
      <c r="E384" s="3"/>
      <c r="F384" s="3"/>
      <c r="G384" s="3"/>
      <c r="H384" s="3"/>
      <c r="K384" s="3"/>
      <c r="L384" s="3"/>
      <c r="O384" s="11"/>
      <c r="P384" s="3"/>
      <c r="Q384" s="9"/>
    </row>
    <row r="385" spans="2:17" x14ac:dyDescent="0.25">
      <c r="B385" s="1"/>
      <c r="E385" s="3"/>
      <c r="F385" s="3"/>
      <c r="G385" s="3"/>
      <c r="H385" s="3"/>
      <c r="K385" s="3"/>
      <c r="L385" s="3"/>
      <c r="O385" s="11"/>
      <c r="P385" s="3"/>
      <c r="Q385" s="9"/>
    </row>
    <row r="386" spans="2:17" x14ac:dyDescent="0.25">
      <c r="B386" s="1"/>
      <c r="E386" s="3"/>
      <c r="F386" s="3"/>
      <c r="G386" s="3"/>
      <c r="H386" s="3"/>
      <c r="K386" s="3"/>
      <c r="L386" s="3"/>
      <c r="O386" s="11"/>
      <c r="P386" s="3"/>
      <c r="Q386" s="9"/>
    </row>
    <row r="387" spans="2:17" x14ac:dyDescent="0.25">
      <c r="B387" s="1"/>
      <c r="E387" s="3"/>
      <c r="F387" s="3"/>
      <c r="G387" s="3"/>
      <c r="H387" s="3"/>
      <c r="K387" s="3"/>
      <c r="L387" s="3"/>
      <c r="O387" s="11"/>
      <c r="P387" s="3"/>
      <c r="Q387" s="9"/>
    </row>
    <row r="388" spans="2:17" x14ac:dyDescent="0.25">
      <c r="B388" s="1"/>
      <c r="E388" s="3"/>
      <c r="F388" s="3"/>
      <c r="G388" s="3"/>
      <c r="H388" s="3"/>
      <c r="K388" s="3"/>
      <c r="L388" s="3"/>
      <c r="O388" s="11"/>
      <c r="P388" s="3"/>
      <c r="Q388" s="9"/>
    </row>
    <row r="389" spans="2:17" x14ac:dyDescent="0.25">
      <c r="B389" s="1"/>
      <c r="E389" s="3"/>
      <c r="F389" s="3"/>
      <c r="G389" s="3"/>
      <c r="H389" s="3"/>
      <c r="K389" s="3"/>
      <c r="L389" s="3"/>
      <c r="O389" s="11"/>
      <c r="P389" s="3"/>
      <c r="Q389" s="9"/>
    </row>
    <row r="390" spans="2:17" x14ac:dyDescent="0.25">
      <c r="B390" s="1"/>
      <c r="E390" s="3"/>
      <c r="F390" s="3"/>
      <c r="G390" s="3"/>
      <c r="H390" s="3"/>
      <c r="K390" s="3"/>
      <c r="L390" s="3"/>
      <c r="O390" s="11"/>
      <c r="P390" s="3"/>
      <c r="Q390" s="9"/>
    </row>
    <row r="391" spans="2:17" x14ac:dyDescent="0.25">
      <c r="B391" s="1"/>
      <c r="E391" s="3"/>
      <c r="F391" s="3"/>
      <c r="G391" s="3"/>
      <c r="H391" s="3"/>
      <c r="K391" s="3"/>
      <c r="L391" s="3"/>
      <c r="O391" s="11"/>
      <c r="P391" s="3"/>
      <c r="Q391" s="9"/>
    </row>
    <row r="392" spans="2:17" x14ac:dyDescent="0.25">
      <c r="B392" s="1"/>
      <c r="E392" s="3"/>
      <c r="F392" s="3"/>
      <c r="G392" s="3"/>
      <c r="H392" s="3"/>
      <c r="K392" s="3"/>
      <c r="L392" s="3"/>
      <c r="O392" s="11"/>
      <c r="P392" s="3"/>
      <c r="Q392" s="9"/>
    </row>
    <row r="393" spans="2:17" x14ac:dyDescent="0.25">
      <c r="B393" s="1"/>
      <c r="E393" s="3"/>
      <c r="F393" s="3"/>
      <c r="G393" s="3"/>
      <c r="H393" s="3"/>
      <c r="K393" s="3"/>
      <c r="L393" s="3"/>
      <c r="O393" s="11"/>
      <c r="P393" s="3"/>
      <c r="Q393" s="9"/>
    </row>
    <row r="394" spans="2:17" x14ac:dyDescent="0.25">
      <c r="B394" s="1"/>
      <c r="E394" s="3"/>
      <c r="F394" s="3"/>
      <c r="G394" s="3"/>
      <c r="H394" s="3"/>
      <c r="K394" s="3"/>
      <c r="L394" s="3"/>
      <c r="O394" s="11"/>
      <c r="P394" s="3"/>
      <c r="Q394" s="9"/>
    </row>
    <row r="395" spans="2:17" x14ac:dyDescent="0.25">
      <c r="B395" s="1"/>
      <c r="E395" s="3"/>
      <c r="F395" s="3"/>
      <c r="G395" s="3"/>
      <c r="H395" s="3"/>
      <c r="K395" s="3"/>
      <c r="L395" s="3"/>
      <c r="O395" s="11"/>
      <c r="P395" s="3"/>
      <c r="Q395" s="9"/>
    </row>
    <row r="396" spans="2:17" x14ac:dyDescent="0.25">
      <c r="B396" s="1"/>
      <c r="E396" s="3"/>
      <c r="F396" s="3"/>
      <c r="G396" s="3"/>
      <c r="H396" s="3"/>
      <c r="K396" s="3"/>
      <c r="L396" s="3"/>
      <c r="O396" s="11"/>
      <c r="P396" s="3"/>
      <c r="Q396" s="9"/>
    </row>
    <row r="397" spans="2:17" x14ac:dyDescent="0.25">
      <c r="B397" s="1"/>
      <c r="E397" s="3"/>
      <c r="F397" s="3"/>
      <c r="G397" s="3"/>
      <c r="H397" s="3"/>
      <c r="K397" s="3"/>
      <c r="L397" s="3"/>
      <c r="O397" s="11"/>
      <c r="P397" s="3"/>
      <c r="Q397" s="9"/>
    </row>
    <row r="398" spans="2:17" x14ac:dyDescent="0.25">
      <c r="B398" s="1"/>
      <c r="E398" s="3"/>
      <c r="F398" s="3"/>
      <c r="G398" s="3"/>
      <c r="H398" s="3"/>
      <c r="K398" s="3"/>
      <c r="L398" s="3"/>
      <c r="O398" s="11"/>
      <c r="P398" s="3"/>
      <c r="Q398" s="9"/>
    </row>
    <row r="399" spans="2:17" x14ac:dyDescent="0.25">
      <c r="B399" s="1"/>
      <c r="E399" s="3"/>
      <c r="F399" s="3"/>
      <c r="G399" s="3"/>
      <c r="H399" s="3"/>
      <c r="K399" s="3"/>
      <c r="L399" s="3"/>
      <c r="O399" s="11"/>
      <c r="P399" s="3"/>
      <c r="Q399" s="9"/>
    </row>
    <row r="400" spans="2:17" x14ac:dyDescent="0.25">
      <c r="B400" s="1"/>
      <c r="E400" s="3"/>
      <c r="F400" s="3"/>
      <c r="G400" s="3"/>
      <c r="H400" s="3"/>
      <c r="K400" s="3"/>
      <c r="L400" s="3"/>
      <c r="O400" s="11"/>
      <c r="P400" s="3"/>
      <c r="Q400" s="9"/>
    </row>
    <row r="401" spans="2:17" x14ac:dyDescent="0.25">
      <c r="B401" s="1"/>
      <c r="E401" s="3"/>
      <c r="F401" s="3"/>
      <c r="G401" s="3"/>
      <c r="H401" s="3"/>
      <c r="K401" s="3"/>
      <c r="L401" s="3"/>
      <c r="O401" s="11"/>
      <c r="P401" s="3"/>
      <c r="Q401" s="9"/>
    </row>
    <row r="402" spans="2:17" x14ac:dyDescent="0.25">
      <c r="B402" s="1"/>
      <c r="E402" s="3"/>
      <c r="F402" s="3"/>
      <c r="G402" s="3"/>
      <c r="H402" s="3"/>
      <c r="K402" s="3"/>
      <c r="L402" s="3"/>
      <c r="O402" s="11"/>
      <c r="P402" s="3"/>
      <c r="Q402" s="9"/>
    </row>
    <row r="403" spans="2:17" x14ac:dyDescent="0.25">
      <c r="B403" s="1"/>
      <c r="E403" s="3"/>
      <c r="F403" s="3"/>
      <c r="G403" s="3"/>
      <c r="H403" s="3"/>
      <c r="K403" s="3"/>
      <c r="L403" s="3"/>
      <c r="O403" s="11"/>
      <c r="P403" s="3"/>
      <c r="Q403" s="9"/>
    </row>
    <row r="404" spans="2:17" x14ac:dyDescent="0.25">
      <c r="B404" s="1"/>
      <c r="E404" s="3"/>
      <c r="F404" s="3"/>
      <c r="G404" s="3"/>
      <c r="H404" s="3"/>
      <c r="K404" s="3"/>
      <c r="L404" s="3"/>
      <c r="O404" s="11"/>
      <c r="P404" s="3"/>
      <c r="Q404" s="9"/>
    </row>
    <row r="405" spans="2:17" x14ac:dyDescent="0.25">
      <c r="B405" s="1"/>
      <c r="E405" s="3"/>
      <c r="F405" s="3"/>
      <c r="G405" s="3"/>
      <c r="H405" s="3"/>
      <c r="K405" s="3"/>
      <c r="L405" s="3"/>
      <c r="O405" s="11"/>
      <c r="P405" s="3"/>
      <c r="Q405" s="9"/>
    </row>
    <row r="406" spans="2:17" x14ac:dyDescent="0.25">
      <c r="B406" s="1"/>
      <c r="E406" s="3"/>
      <c r="F406" s="3"/>
      <c r="G406" s="3"/>
      <c r="H406" s="3"/>
      <c r="K406" s="3"/>
      <c r="L406" s="3"/>
      <c r="O406" s="11"/>
      <c r="P406" s="3"/>
      <c r="Q406" s="9"/>
    </row>
    <row r="407" spans="2:17" x14ac:dyDescent="0.25">
      <c r="B407" s="1"/>
      <c r="E407" s="3"/>
      <c r="F407" s="3"/>
      <c r="G407" s="3"/>
      <c r="H407" s="3"/>
      <c r="K407" s="3"/>
      <c r="L407" s="3"/>
      <c r="O407" s="11"/>
      <c r="P407" s="3"/>
      <c r="Q407" s="9"/>
    </row>
    <row r="408" spans="2:17" x14ac:dyDescent="0.25">
      <c r="B408" s="1"/>
      <c r="E408" s="3"/>
      <c r="F408" s="3"/>
      <c r="G408" s="3"/>
      <c r="H408" s="3"/>
      <c r="K408" s="3"/>
      <c r="L408" s="3"/>
      <c r="O408" s="11"/>
      <c r="P408" s="3"/>
      <c r="Q408" s="9"/>
    </row>
    <row r="409" spans="2:17" x14ac:dyDescent="0.25">
      <c r="B409" s="1"/>
      <c r="E409" s="3"/>
      <c r="F409" s="3"/>
      <c r="G409" s="3"/>
      <c r="H409" s="3"/>
      <c r="K409" s="3"/>
      <c r="L409" s="3"/>
      <c r="O409" s="11"/>
      <c r="P409" s="3"/>
      <c r="Q409" s="9"/>
    </row>
    <row r="410" spans="2:17" x14ac:dyDescent="0.25">
      <c r="B410" s="1"/>
      <c r="E410" s="3"/>
      <c r="F410" s="3"/>
      <c r="G410" s="3"/>
      <c r="H410" s="3"/>
      <c r="K410" s="3"/>
      <c r="L410" s="3"/>
      <c r="O410" s="11"/>
      <c r="P410" s="3"/>
      <c r="Q410" s="9"/>
    </row>
    <row r="411" spans="2:17" x14ac:dyDescent="0.25">
      <c r="B411" s="1"/>
      <c r="E411" s="3"/>
      <c r="F411" s="3"/>
      <c r="G411" s="3"/>
      <c r="H411" s="3"/>
      <c r="K411" s="3"/>
      <c r="L411" s="3"/>
      <c r="O411" s="11"/>
      <c r="P411" s="3"/>
      <c r="Q411" s="9"/>
    </row>
    <row r="412" spans="2:17" x14ac:dyDescent="0.25">
      <c r="B412" s="1"/>
      <c r="E412" s="3"/>
      <c r="F412" s="3"/>
      <c r="G412" s="3"/>
      <c r="H412" s="3"/>
      <c r="K412" s="3"/>
      <c r="L412" s="3"/>
      <c r="O412" s="11"/>
      <c r="P412" s="3"/>
      <c r="Q412" s="9"/>
    </row>
    <row r="413" spans="2:17" x14ac:dyDescent="0.25">
      <c r="B413" s="1"/>
      <c r="E413" s="3"/>
      <c r="F413" s="3"/>
      <c r="G413" s="3"/>
      <c r="H413" s="3"/>
      <c r="K413" s="3"/>
      <c r="L413" s="3"/>
      <c r="O413" s="11"/>
      <c r="P413" s="3"/>
      <c r="Q413" s="9"/>
    </row>
    <row r="414" spans="2:17" x14ac:dyDescent="0.25">
      <c r="B414" s="1"/>
      <c r="E414" s="3"/>
      <c r="F414" s="3"/>
      <c r="G414" s="3"/>
      <c r="H414" s="3"/>
      <c r="K414" s="3"/>
      <c r="L414" s="3"/>
      <c r="O414" s="11"/>
      <c r="P414" s="3"/>
      <c r="Q414" s="9"/>
    </row>
    <row r="415" spans="2:17" x14ac:dyDescent="0.25">
      <c r="B415" s="1"/>
      <c r="E415" s="3"/>
      <c r="F415" s="3"/>
      <c r="G415" s="3"/>
      <c r="H415" s="3"/>
      <c r="K415" s="3"/>
      <c r="L415" s="3"/>
      <c r="O415" s="11"/>
      <c r="P415" s="3"/>
      <c r="Q415" s="9"/>
    </row>
    <row r="416" spans="2:17" x14ac:dyDescent="0.25">
      <c r="B416" s="1"/>
      <c r="E416" s="3"/>
      <c r="F416" s="3"/>
      <c r="G416" s="3"/>
      <c r="H416" s="3"/>
      <c r="K416" s="3"/>
      <c r="L416" s="3"/>
      <c r="O416" s="11"/>
      <c r="P416" s="3"/>
      <c r="Q416" s="9"/>
    </row>
    <row r="417" spans="2:17" x14ac:dyDescent="0.25">
      <c r="B417" s="1"/>
      <c r="E417" s="3"/>
      <c r="F417" s="3"/>
      <c r="G417" s="3"/>
      <c r="H417" s="3"/>
      <c r="K417" s="3"/>
      <c r="L417" s="3"/>
      <c r="O417" s="11"/>
      <c r="P417" s="3"/>
      <c r="Q417" s="9"/>
    </row>
    <row r="418" spans="2:17" x14ac:dyDescent="0.25">
      <c r="B418" s="1"/>
      <c r="E418" s="3"/>
      <c r="F418" s="3"/>
      <c r="G418" s="3"/>
      <c r="H418" s="3"/>
      <c r="K418" s="3"/>
      <c r="L418" s="3"/>
      <c r="O418" s="11"/>
      <c r="P418" s="3"/>
      <c r="Q418" s="9"/>
    </row>
    <row r="419" spans="2:17" x14ac:dyDescent="0.25">
      <c r="B419" s="1"/>
      <c r="E419" s="3"/>
      <c r="F419" s="3"/>
      <c r="G419" s="3"/>
      <c r="H419" s="3"/>
      <c r="K419" s="3"/>
      <c r="L419" s="3"/>
      <c r="O419" s="11"/>
      <c r="P419" s="3"/>
      <c r="Q419" s="9"/>
    </row>
    <row r="420" spans="2:17" x14ac:dyDescent="0.25">
      <c r="B420" s="1"/>
      <c r="E420" s="3"/>
      <c r="F420" s="3"/>
      <c r="G420" s="3"/>
      <c r="H420" s="3"/>
      <c r="K420" s="3"/>
      <c r="L420" s="3"/>
      <c r="O420" s="11"/>
      <c r="P420" s="3"/>
      <c r="Q420" s="9"/>
    </row>
    <row r="421" spans="2:17" x14ac:dyDescent="0.25">
      <c r="B421" s="1"/>
      <c r="E421" s="3"/>
      <c r="F421" s="3"/>
      <c r="G421" s="3"/>
      <c r="H421" s="3"/>
      <c r="K421" s="3"/>
      <c r="L421" s="3"/>
      <c r="O421" s="11"/>
      <c r="P421" s="3"/>
      <c r="Q421" s="9"/>
    </row>
    <row r="422" spans="2:17" x14ac:dyDescent="0.25">
      <c r="B422" s="1"/>
      <c r="E422" s="3"/>
      <c r="F422" s="3"/>
      <c r="G422" s="3"/>
      <c r="H422" s="3"/>
      <c r="K422" s="3"/>
      <c r="L422" s="3"/>
      <c r="O422" s="11"/>
      <c r="P422" s="3"/>
      <c r="Q422" s="9"/>
    </row>
    <row r="423" spans="2:17" x14ac:dyDescent="0.25">
      <c r="B423" s="1"/>
      <c r="E423" s="3"/>
      <c r="F423" s="3"/>
      <c r="G423" s="3"/>
      <c r="H423" s="3"/>
      <c r="K423" s="3"/>
      <c r="L423" s="3"/>
      <c r="O423" s="11"/>
      <c r="P423" s="3"/>
      <c r="Q423" s="9"/>
    </row>
    <row r="424" spans="2:17" x14ac:dyDescent="0.25">
      <c r="B424" s="1"/>
      <c r="E424" s="3"/>
      <c r="F424" s="3"/>
      <c r="G424" s="3"/>
      <c r="H424" s="3"/>
      <c r="K424" s="3"/>
      <c r="L424" s="3"/>
      <c r="O424" s="11"/>
      <c r="P424" s="3"/>
      <c r="Q424" s="9"/>
    </row>
    <row r="425" spans="2:17" x14ac:dyDescent="0.25">
      <c r="B425" s="1"/>
      <c r="E425" s="3"/>
      <c r="F425" s="3"/>
      <c r="G425" s="3"/>
      <c r="H425" s="3"/>
      <c r="K425" s="3"/>
      <c r="L425" s="3"/>
      <c r="O425" s="11"/>
      <c r="P425" s="3"/>
      <c r="Q425" s="9"/>
    </row>
    <row r="426" spans="2:17" x14ac:dyDescent="0.25">
      <c r="B426" s="1"/>
      <c r="E426" s="3"/>
      <c r="F426" s="3"/>
      <c r="G426" s="3"/>
      <c r="H426" s="3"/>
      <c r="K426" s="3"/>
      <c r="L426" s="3"/>
      <c r="O426" s="11"/>
      <c r="P426" s="3"/>
      <c r="Q426" s="9"/>
    </row>
    <row r="427" spans="2:17" x14ac:dyDescent="0.25">
      <c r="B427" s="1"/>
      <c r="E427" s="3"/>
      <c r="F427" s="3"/>
      <c r="G427" s="3"/>
      <c r="H427" s="3"/>
      <c r="K427" s="3"/>
      <c r="L427" s="3"/>
      <c r="O427" s="11"/>
      <c r="P427" s="3"/>
      <c r="Q427" s="9"/>
    </row>
    <row r="428" spans="2:17" x14ac:dyDescent="0.25">
      <c r="B428" s="1"/>
      <c r="E428" s="3"/>
      <c r="F428" s="3"/>
      <c r="G428" s="3"/>
      <c r="H428" s="3"/>
      <c r="K428" s="3"/>
      <c r="L428" s="3"/>
      <c r="O428" s="11"/>
      <c r="P428" s="3"/>
      <c r="Q428" s="9"/>
    </row>
    <row r="429" spans="2:17" x14ac:dyDescent="0.25">
      <c r="B429" s="1"/>
      <c r="E429" s="3"/>
      <c r="F429" s="3"/>
      <c r="G429" s="3"/>
      <c r="H429" s="3"/>
      <c r="K429" s="3"/>
      <c r="L429" s="3"/>
      <c r="O429" s="11"/>
      <c r="P429" s="3"/>
      <c r="Q429" s="9"/>
    </row>
    <row r="430" spans="2:17" x14ac:dyDescent="0.25">
      <c r="B430" s="1"/>
      <c r="E430" s="3"/>
      <c r="F430" s="3"/>
      <c r="G430" s="3"/>
      <c r="H430" s="3"/>
      <c r="K430" s="3"/>
      <c r="L430" s="3"/>
      <c r="O430" s="11"/>
      <c r="P430" s="3"/>
      <c r="Q430" s="9"/>
    </row>
    <row r="431" spans="2:17" x14ac:dyDescent="0.25">
      <c r="B431" s="1"/>
      <c r="E431" s="3"/>
      <c r="F431" s="3"/>
      <c r="G431" s="3"/>
      <c r="H431" s="3"/>
      <c r="K431" s="3"/>
      <c r="L431" s="3"/>
      <c r="O431" s="11"/>
      <c r="P431" s="3"/>
      <c r="Q431" s="9"/>
    </row>
    <row r="432" spans="2:17" x14ac:dyDescent="0.25">
      <c r="B432" s="1"/>
      <c r="E432" s="3"/>
      <c r="F432" s="3"/>
      <c r="G432" s="3"/>
      <c r="H432" s="3"/>
      <c r="K432" s="3"/>
      <c r="L432" s="3"/>
      <c r="O432" s="11"/>
      <c r="P432" s="3"/>
      <c r="Q432" s="9"/>
    </row>
    <row r="433" spans="2:17" x14ac:dyDescent="0.25">
      <c r="B433" s="1"/>
      <c r="E433" s="3"/>
      <c r="F433" s="3"/>
      <c r="G433" s="3"/>
      <c r="H433" s="3"/>
      <c r="K433" s="3"/>
      <c r="L433" s="3"/>
      <c r="O433" s="11"/>
      <c r="P433" s="3"/>
      <c r="Q433" s="9"/>
    </row>
    <row r="434" spans="2:17" x14ac:dyDescent="0.25">
      <c r="B434" s="1"/>
      <c r="E434" s="3"/>
      <c r="F434" s="3"/>
      <c r="G434" s="3"/>
      <c r="H434" s="3"/>
      <c r="K434" s="3"/>
      <c r="L434" s="3"/>
      <c r="O434" s="11"/>
      <c r="P434" s="3"/>
      <c r="Q434" s="9"/>
    </row>
    <row r="435" spans="2:17" x14ac:dyDescent="0.25">
      <c r="B435" s="1"/>
      <c r="E435" s="3"/>
      <c r="F435" s="3"/>
      <c r="G435" s="3"/>
      <c r="H435" s="3"/>
      <c r="K435" s="3"/>
      <c r="L435" s="3"/>
      <c r="O435" s="11"/>
      <c r="P435" s="3"/>
      <c r="Q435" s="9"/>
    </row>
    <row r="436" spans="2:17" x14ac:dyDescent="0.25">
      <c r="B436" s="1"/>
      <c r="E436" s="3"/>
      <c r="F436" s="3"/>
      <c r="G436" s="3"/>
      <c r="H436" s="3"/>
      <c r="K436" s="3"/>
      <c r="L436" s="3"/>
      <c r="O436" s="11"/>
      <c r="P436" s="3"/>
      <c r="Q436" s="9"/>
    </row>
    <row r="437" spans="2:17" x14ac:dyDescent="0.25">
      <c r="B437" s="1"/>
      <c r="E437" s="3"/>
      <c r="F437" s="3"/>
      <c r="G437" s="3"/>
      <c r="H437" s="3"/>
      <c r="K437" s="3"/>
      <c r="L437" s="3"/>
      <c r="O437" s="11"/>
      <c r="P437" s="3"/>
      <c r="Q437" s="9"/>
    </row>
    <row r="438" spans="2:17" x14ac:dyDescent="0.25">
      <c r="B438" s="1"/>
      <c r="E438" s="3"/>
      <c r="F438" s="3"/>
      <c r="G438" s="3"/>
      <c r="H438" s="3"/>
      <c r="K438" s="3"/>
      <c r="L438" s="3"/>
      <c r="O438" s="11"/>
      <c r="P438" s="3"/>
      <c r="Q438" s="9"/>
    </row>
    <row r="439" spans="2:17" x14ac:dyDescent="0.25">
      <c r="B439" s="1"/>
      <c r="E439" s="3"/>
      <c r="F439" s="3"/>
      <c r="G439" s="3"/>
      <c r="H439" s="3"/>
      <c r="K439" s="3"/>
      <c r="L439" s="3"/>
      <c r="O439" s="11"/>
      <c r="P439" s="3"/>
      <c r="Q439" s="9"/>
    </row>
    <row r="440" spans="2:17" x14ac:dyDescent="0.25">
      <c r="B440" s="1"/>
      <c r="E440" s="3"/>
      <c r="F440" s="3"/>
      <c r="G440" s="3"/>
      <c r="H440" s="3"/>
      <c r="K440" s="3"/>
      <c r="L440" s="3"/>
      <c r="O440" s="11"/>
      <c r="P440" s="3"/>
      <c r="Q440" s="9"/>
    </row>
    <row r="441" spans="2:17" x14ac:dyDescent="0.25">
      <c r="B441" s="1"/>
      <c r="E441" s="3"/>
      <c r="F441" s="3"/>
      <c r="G441" s="3"/>
      <c r="H441" s="3"/>
      <c r="K441" s="3"/>
      <c r="L441" s="3"/>
      <c r="O441" s="11"/>
      <c r="P441" s="3"/>
      <c r="Q441" s="9"/>
    </row>
    <row r="442" spans="2:17" x14ac:dyDescent="0.25">
      <c r="B442" s="1"/>
      <c r="E442" s="3"/>
      <c r="F442" s="3"/>
      <c r="G442" s="3"/>
      <c r="H442" s="3"/>
      <c r="K442" s="3"/>
      <c r="L442" s="3"/>
      <c r="O442" s="11"/>
      <c r="P442" s="3"/>
      <c r="Q442" s="9"/>
    </row>
    <row r="443" spans="2:17" x14ac:dyDescent="0.25">
      <c r="B443" s="1"/>
      <c r="E443" s="3"/>
      <c r="F443" s="3"/>
      <c r="G443" s="3"/>
      <c r="H443" s="3"/>
      <c r="K443" s="3"/>
      <c r="L443" s="3"/>
      <c r="O443" s="11"/>
      <c r="P443" s="3"/>
      <c r="Q443" s="9"/>
    </row>
    <row r="444" spans="2:17" x14ac:dyDescent="0.25">
      <c r="B444" s="1"/>
      <c r="E444" s="3"/>
      <c r="F444" s="3"/>
      <c r="G444" s="3"/>
      <c r="H444" s="3"/>
      <c r="K444" s="3"/>
      <c r="L444" s="3"/>
      <c r="O444" s="11"/>
      <c r="P444" s="3"/>
      <c r="Q444" s="9"/>
    </row>
    <row r="445" spans="2:17" x14ac:dyDescent="0.25">
      <c r="B445" s="1"/>
      <c r="E445" s="3"/>
      <c r="F445" s="3"/>
      <c r="G445" s="3"/>
      <c r="H445" s="3"/>
      <c r="K445" s="3"/>
      <c r="L445" s="3"/>
      <c r="O445" s="11"/>
      <c r="P445" s="3"/>
      <c r="Q445" s="9"/>
    </row>
    <row r="446" spans="2:17" x14ac:dyDescent="0.25">
      <c r="B446" s="1"/>
      <c r="E446" s="3"/>
      <c r="F446" s="3"/>
      <c r="G446" s="3"/>
      <c r="H446" s="3"/>
      <c r="K446" s="3"/>
      <c r="L446" s="3"/>
      <c r="O446" s="11"/>
      <c r="P446" s="3"/>
      <c r="Q446" s="9"/>
    </row>
    <row r="447" spans="2:17" x14ac:dyDescent="0.25">
      <c r="B447" s="1"/>
      <c r="E447" s="3"/>
      <c r="F447" s="3"/>
      <c r="G447" s="3"/>
      <c r="H447" s="3"/>
      <c r="K447" s="3"/>
      <c r="L447" s="3"/>
      <c r="O447" s="11"/>
      <c r="P447" s="3"/>
      <c r="Q447" s="9"/>
    </row>
    <row r="448" spans="2:17" x14ac:dyDescent="0.25">
      <c r="B448" s="1"/>
      <c r="E448" s="3"/>
      <c r="F448" s="3"/>
      <c r="G448" s="3"/>
      <c r="H448" s="3"/>
      <c r="K448" s="3"/>
      <c r="L448" s="3"/>
      <c r="O448" s="11"/>
      <c r="P448" s="3"/>
      <c r="Q448" s="9"/>
    </row>
    <row r="449" spans="2:17" x14ac:dyDescent="0.25">
      <c r="B449" s="1"/>
      <c r="E449" s="3"/>
      <c r="F449" s="3"/>
      <c r="G449" s="3"/>
      <c r="H449" s="3"/>
      <c r="K449" s="3"/>
      <c r="L449" s="3"/>
      <c r="O449" s="11"/>
      <c r="P449" s="3"/>
      <c r="Q449" s="9"/>
    </row>
    <row r="450" spans="2:17" x14ac:dyDescent="0.25">
      <c r="B450" s="1"/>
      <c r="E450" s="3"/>
      <c r="F450" s="3"/>
      <c r="G450" s="3"/>
      <c r="H450" s="3"/>
      <c r="K450" s="3"/>
      <c r="L450" s="3"/>
      <c r="O450" s="11"/>
      <c r="P450" s="3"/>
      <c r="Q450" s="9"/>
    </row>
    <row r="451" spans="2:17" x14ac:dyDescent="0.25">
      <c r="B451" s="1"/>
      <c r="E451" s="3"/>
      <c r="F451" s="3"/>
      <c r="G451" s="3"/>
      <c r="H451" s="3"/>
      <c r="K451" s="3"/>
      <c r="L451" s="3"/>
      <c r="O451" s="11"/>
      <c r="P451" s="3"/>
      <c r="Q451" s="9"/>
    </row>
    <row r="452" spans="2:17" x14ac:dyDescent="0.25">
      <c r="B452" s="1"/>
      <c r="E452" s="3"/>
      <c r="F452" s="3"/>
      <c r="G452" s="3"/>
      <c r="H452" s="3"/>
      <c r="K452" s="3"/>
      <c r="L452" s="3"/>
      <c r="O452" s="11"/>
      <c r="P452" s="3"/>
      <c r="Q452" s="9"/>
    </row>
    <row r="453" spans="2:17" x14ac:dyDescent="0.25">
      <c r="B453" s="1"/>
      <c r="E453" s="3"/>
      <c r="F453" s="3"/>
      <c r="G453" s="3"/>
      <c r="H453" s="3"/>
      <c r="K453" s="3"/>
      <c r="L453" s="3"/>
      <c r="O453" s="11"/>
      <c r="P453" s="3"/>
      <c r="Q453" s="9"/>
    </row>
    <row r="454" spans="2:17" x14ac:dyDescent="0.25">
      <c r="B454" s="1"/>
      <c r="E454" s="3"/>
      <c r="F454" s="3"/>
      <c r="G454" s="3"/>
      <c r="H454" s="3"/>
      <c r="K454" s="3"/>
      <c r="L454" s="3"/>
      <c r="O454" s="11"/>
      <c r="P454" s="3"/>
      <c r="Q454" s="9"/>
    </row>
    <row r="455" spans="2:17" x14ac:dyDescent="0.25">
      <c r="B455" s="1"/>
      <c r="E455" s="3"/>
      <c r="F455" s="3"/>
      <c r="G455" s="3"/>
      <c r="H455" s="3"/>
      <c r="K455" s="3"/>
      <c r="L455" s="3"/>
      <c r="O455" s="11"/>
      <c r="P455" s="3"/>
      <c r="Q455" s="9"/>
    </row>
    <row r="456" spans="2:17" x14ac:dyDescent="0.25">
      <c r="B456" s="1"/>
      <c r="E456" s="3"/>
      <c r="F456" s="3"/>
      <c r="G456" s="3"/>
      <c r="H456" s="3"/>
      <c r="K456" s="3"/>
      <c r="L456" s="3"/>
      <c r="O456" s="11"/>
      <c r="P456" s="3"/>
      <c r="Q456" s="9"/>
    </row>
    <row r="457" spans="2:17" x14ac:dyDescent="0.25">
      <c r="B457" s="1"/>
      <c r="E457" s="3"/>
      <c r="F457" s="3"/>
      <c r="G457" s="3"/>
      <c r="H457" s="3"/>
      <c r="K457" s="3"/>
      <c r="L457" s="3"/>
      <c r="O457" s="11"/>
      <c r="P457" s="3"/>
      <c r="Q457" s="9"/>
    </row>
    <row r="458" spans="2:17" x14ac:dyDescent="0.25">
      <c r="B458" s="1"/>
      <c r="E458" s="3"/>
      <c r="F458" s="3"/>
      <c r="G458" s="3"/>
      <c r="H458" s="3"/>
      <c r="K458" s="3"/>
      <c r="L458" s="3"/>
      <c r="O458" s="11"/>
      <c r="P458" s="3"/>
      <c r="Q458" s="9"/>
    </row>
    <row r="459" spans="2:17" x14ac:dyDescent="0.25">
      <c r="B459" s="1"/>
      <c r="E459" s="3"/>
      <c r="F459" s="3"/>
      <c r="G459" s="3"/>
      <c r="H459" s="3"/>
      <c r="K459" s="3"/>
      <c r="L459" s="3"/>
      <c r="O459" s="11"/>
      <c r="P459" s="3"/>
      <c r="Q459" s="9"/>
    </row>
    <row r="460" spans="2:17" x14ac:dyDescent="0.25">
      <c r="B460" s="1"/>
      <c r="E460" s="3"/>
      <c r="F460" s="3"/>
      <c r="G460" s="3"/>
      <c r="H460" s="3"/>
      <c r="K460" s="3"/>
      <c r="L460" s="3"/>
      <c r="O460" s="11"/>
      <c r="P460" s="3"/>
      <c r="Q460" s="9"/>
    </row>
    <row r="461" spans="2:17" x14ac:dyDescent="0.25">
      <c r="B461" s="1"/>
      <c r="E461" s="3"/>
      <c r="F461" s="3"/>
      <c r="G461" s="3"/>
      <c r="H461" s="3"/>
      <c r="K461" s="3"/>
      <c r="L461" s="3"/>
      <c r="O461" s="11"/>
      <c r="P461" s="3"/>
      <c r="Q461" s="9"/>
    </row>
    <row r="462" spans="2:17" x14ac:dyDescent="0.25">
      <c r="B462" s="1"/>
      <c r="E462" s="3"/>
      <c r="F462" s="3"/>
      <c r="G462" s="3"/>
      <c r="H462" s="3"/>
      <c r="K462" s="3"/>
      <c r="L462" s="3"/>
      <c r="O462" s="11"/>
      <c r="P462" s="3"/>
      <c r="Q462" s="9"/>
    </row>
    <row r="463" spans="2:17" x14ac:dyDescent="0.25">
      <c r="B463" s="1"/>
      <c r="E463" s="3"/>
      <c r="F463" s="3"/>
      <c r="G463" s="3"/>
      <c r="H463" s="3"/>
      <c r="K463" s="3"/>
      <c r="L463" s="3"/>
      <c r="O463" s="11"/>
      <c r="P463" s="3"/>
      <c r="Q463" s="9"/>
    </row>
    <row r="464" spans="2:17" x14ac:dyDescent="0.25">
      <c r="B464" s="1"/>
      <c r="E464" s="3"/>
      <c r="F464" s="3"/>
      <c r="G464" s="3"/>
      <c r="H464" s="3"/>
      <c r="K464" s="3"/>
      <c r="L464" s="3"/>
      <c r="O464" s="11"/>
      <c r="P464" s="3"/>
      <c r="Q464" s="9"/>
    </row>
    <row r="465" spans="2:17" x14ac:dyDescent="0.25">
      <c r="B465" s="1"/>
      <c r="E465" s="3"/>
      <c r="F465" s="3"/>
      <c r="G465" s="3"/>
      <c r="H465" s="3"/>
      <c r="K465" s="3"/>
      <c r="L465" s="3"/>
      <c r="O465" s="11"/>
      <c r="P465" s="3"/>
      <c r="Q465" s="9"/>
    </row>
    <row r="466" spans="2:17" x14ac:dyDescent="0.25">
      <c r="B466" s="1"/>
      <c r="E466" s="3"/>
      <c r="F466" s="3"/>
      <c r="G466" s="3"/>
      <c r="H466" s="3"/>
      <c r="K466" s="3"/>
      <c r="L466" s="3"/>
      <c r="O466" s="11"/>
      <c r="P466" s="3"/>
      <c r="Q466" s="9"/>
    </row>
    <row r="467" spans="2:17" x14ac:dyDescent="0.25">
      <c r="B467" s="1"/>
      <c r="E467" s="3"/>
      <c r="F467" s="3"/>
      <c r="G467" s="3"/>
      <c r="H467" s="3"/>
      <c r="K467" s="3"/>
      <c r="L467" s="3"/>
      <c r="O467" s="11"/>
      <c r="P467" s="3"/>
      <c r="Q467" s="9"/>
    </row>
    <row r="468" spans="2:17" x14ac:dyDescent="0.25">
      <c r="B468" s="1"/>
      <c r="E468" s="3"/>
      <c r="F468" s="3"/>
      <c r="G468" s="3"/>
      <c r="H468" s="3"/>
      <c r="K468" s="3"/>
      <c r="L468" s="3"/>
      <c r="O468" s="11"/>
      <c r="P468" s="3"/>
      <c r="Q468" s="9"/>
    </row>
    <row r="469" spans="2:17" x14ac:dyDescent="0.25">
      <c r="B469" s="1"/>
      <c r="E469" s="3"/>
      <c r="F469" s="3"/>
      <c r="G469" s="3"/>
      <c r="H469" s="3"/>
      <c r="K469" s="3"/>
      <c r="L469" s="3"/>
      <c r="O469" s="11"/>
      <c r="P469" s="3"/>
      <c r="Q469" s="9"/>
    </row>
    <row r="470" spans="2:17" x14ac:dyDescent="0.25">
      <c r="B470" s="1"/>
      <c r="E470" s="3"/>
      <c r="F470" s="3"/>
      <c r="G470" s="3"/>
      <c r="H470" s="3"/>
      <c r="K470" s="3"/>
      <c r="L470" s="3"/>
      <c r="O470" s="11"/>
      <c r="P470" s="3"/>
      <c r="Q470" s="9"/>
    </row>
    <row r="471" spans="2:17" x14ac:dyDescent="0.25">
      <c r="B471" s="1"/>
      <c r="E471" s="3"/>
      <c r="F471" s="3"/>
      <c r="G471" s="3"/>
      <c r="H471" s="3"/>
      <c r="K471" s="3"/>
      <c r="L471" s="3"/>
      <c r="O471" s="11"/>
      <c r="P471" s="3"/>
      <c r="Q471" s="9"/>
    </row>
    <row r="472" spans="2:17" x14ac:dyDescent="0.25">
      <c r="B472" s="1"/>
      <c r="E472" s="3"/>
      <c r="F472" s="3"/>
      <c r="G472" s="3"/>
      <c r="H472" s="3"/>
      <c r="K472" s="3"/>
      <c r="L472" s="3"/>
      <c r="O472" s="11"/>
      <c r="P472" s="3"/>
      <c r="Q472" s="9"/>
    </row>
    <row r="473" spans="2:17" x14ac:dyDescent="0.25">
      <c r="B473" s="1"/>
      <c r="E473" s="3"/>
      <c r="F473" s="3"/>
      <c r="G473" s="3"/>
      <c r="H473" s="3"/>
      <c r="K473" s="3"/>
      <c r="L473" s="3"/>
      <c r="O473" s="11"/>
      <c r="P473" s="3"/>
      <c r="Q473" s="9"/>
    </row>
    <row r="474" spans="2:17" x14ac:dyDescent="0.25">
      <c r="B474" s="1"/>
      <c r="E474" s="3"/>
      <c r="F474" s="3"/>
      <c r="G474" s="3"/>
      <c r="H474" s="3"/>
      <c r="K474" s="3"/>
      <c r="L474" s="3"/>
      <c r="O474" s="11"/>
      <c r="P474" s="3"/>
      <c r="Q474" s="9"/>
    </row>
    <row r="475" spans="2:17" x14ac:dyDescent="0.25">
      <c r="B475" s="1"/>
      <c r="E475" s="3"/>
      <c r="F475" s="3"/>
      <c r="G475" s="3"/>
      <c r="H475" s="3"/>
      <c r="K475" s="3"/>
      <c r="L475" s="3"/>
      <c r="O475" s="11"/>
      <c r="P475" s="3"/>
      <c r="Q475" s="9"/>
    </row>
    <row r="476" spans="2:17" x14ac:dyDescent="0.25">
      <c r="B476" s="1"/>
      <c r="E476" s="3"/>
      <c r="F476" s="3"/>
      <c r="G476" s="3"/>
      <c r="H476" s="3"/>
      <c r="K476" s="3"/>
      <c r="L476" s="3"/>
      <c r="O476" s="11"/>
      <c r="P476" s="3"/>
      <c r="Q476" s="9"/>
    </row>
    <row r="477" spans="2:17" x14ac:dyDescent="0.25">
      <c r="B477" s="1"/>
      <c r="E477" s="3"/>
      <c r="F477" s="3"/>
      <c r="G477" s="3"/>
      <c r="H477" s="3"/>
      <c r="K477" s="3"/>
      <c r="L477" s="3"/>
      <c r="O477" s="11"/>
      <c r="P477" s="3"/>
      <c r="Q477" s="9"/>
    </row>
    <row r="478" spans="2:17" x14ac:dyDescent="0.25">
      <c r="B478" s="1"/>
      <c r="E478" s="3"/>
      <c r="F478" s="3"/>
      <c r="G478" s="3"/>
      <c r="H478" s="3"/>
      <c r="K478" s="3"/>
      <c r="L478" s="3"/>
      <c r="O478" s="11"/>
      <c r="P478" s="3"/>
      <c r="Q478" s="9"/>
    </row>
    <row r="479" spans="2:17" x14ac:dyDescent="0.25">
      <c r="B479" s="1"/>
      <c r="E479" s="3"/>
      <c r="F479" s="3"/>
      <c r="G479" s="3"/>
      <c r="H479" s="3"/>
      <c r="K479" s="3"/>
      <c r="L479" s="3"/>
      <c r="O479" s="11"/>
      <c r="P479" s="3"/>
      <c r="Q479" s="9"/>
    </row>
    <row r="480" spans="2:17" x14ac:dyDescent="0.25">
      <c r="B480" s="1"/>
      <c r="E480" s="3"/>
      <c r="F480" s="3"/>
      <c r="G480" s="3"/>
      <c r="H480" s="3"/>
      <c r="K480" s="3"/>
      <c r="L480" s="3"/>
      <c r="O480" s="11"/>
      <c r="P480" s="3"/>
      <c r="Q480" s="9"/>
    </row>
    <row r="481" spans="2:17" x14ac:dyDescent="0.25">
      <c r="B481" s="1"/>
      <c r="E481" s="3"/>
      <c r="F481" s="3"/>
      <c r="G481" s="3"/>
      <c r="H481" s="3"/>
      <c r="K481" s="3"/>
      <c r="L481" s="3"/>
      <c r="O481" s="11"/>
      <c r="P481" s="3"/>
      <c r="Q481" s="9"/>
    </row>
    <row r="482" spans="2:17" x14ac:dyDescent="0.25">
      <c r="B482" s="1"/>
      <c r="E482" s="3"/>
      <c r="F482" s="3"/>
      <c r="G482" s="3"/>
      <c r="H482" s="3"/>
      <c r="K482" s="3"/>
      <c r="L482" s="3"/>
      <c r="O482" s="11"/>
      <c r="P482" s="3"/>
      <c r="Q482" s="9"/>
    </row>
    <row r="483" spans="2:17" x14ac:dyDescent="0.25">
      <c r="B483" s="1"/>
      <c r="E483" s="3"/>
      <c r="F483" s="3"/>
      <c r="G483" s="3"/>
      <c r="H483" s="3"/>
      <c r="K483" s="3"/>
      <c r="L483" s="3"/>
      <c r="O483" s="11"/>
      <c r="P483" s="3"/>
      <c r="Q483" s="9"/>
    </row>
    <row r="484" spans="2:17" x14ac:dyDescent="0.25">
      <c r="B484" s="1"/>
      <c r="E484" s="3"/>
      <c r="F484" s="3"/>
      <c r="G484" s="3"/>
      <c r="H484" s="3"/>
      <c r="K484" s="3"/>
      <c r="L484" s="3"/>
      <c r="O484" s="11"/>
      <c r="P484" s="3"/>
      <c r="Q484" s="9"/>
    </row>
    <row r="485" spans="2:17" x14ac:dyDescent="0.25">
      <c r="B485" s="1"/>
      <c r="E485" s="3"/>
      <c r="F485" s="3"/>
      <c r="G485" s="3"/>
      <c r="H485" s="3"/>
      <c r="K485" s="3"/>
      <c r="L485" s="3"/>
      <c r="O485" s="11"/>
      <c r="P485" s="3"/>
      <c r="Q485" s="9"/>
    </row>
    <row r="486" spans="2:17" x14ac:dyDescent="0.25">
      <c r="B486" s="1"/>
      <c r="E486" s="3"/>
      <c r="F486" s="3"/>
      <c r="G486" s="3"/>
      <c r="H486" s="3"/>
      <c r="K486" s="3"/>
      <c r="L486" s="3"/>
      <c r="O486" s="11"/>
      <c r="P486" s="3"/>
      <c r="Q486" s="9"/>
    </row>
    <row r="487" spans="2:17" x14ac:dyDescent="0.25">
      <c r="B487" s="1"/>
      <c r="E487" s="3"/>
      <c r="F487" s="3"/>
      <c r="G487" s="3"/>
      <c r="H487" s="3"/>
      <c r="K487" s="3"/>
      <c r="L487" s="3"/>
      <c r="O487" s="11"/>
      <c r="P487" s="3"/>
      <c r="Q487" s="9"/>
    </row>
    <row r="488" spans="2:17" x14ac:dyDescent="0.25">
      <c r="B488" s="1"/>
      <c r="E488" s="3"/>
      <c r="F488" s="3"/>
      <c r="G488" s="3"/>
      <c r="H488" s="3"/>
      <c r="K488" s="3"/>
      <c r="L488" s="3"/>
      <c r="O488" s="11"/>
      <c r="P488" s="3"/>
      <c r="Q488" s="9"/>
    </row>
    <row r="489" spans="2:17" x14ac:dyDescent="0.25">
      <c r="B489" s="1"/>
      <c r="E489" s="3"/>
      <c r="F489" s="3"/>
      <c r="G489" s="3"/>
      <c r="H489" s="3"/>
      <c r="K489" s="3"/>
      <c r="L489" s="3"/>
      <c r="O489" s="11"/>
      <c r="P489" s="3"/>
      <c r="Q489" s="9"/>
    </row>
    <row r="490" spans="2:17" x14ac:dyDescent="0.25">
      <c r="B490" s="1"/>
      <c r="E490" s="3"/>
      <c r="F490" s="3"/>
      <c r="G490" s="3"/>
      <c r="H490" s="3"/>
      <c r="K490" s="3"/>
      <c r="L490" s="3"/>
      <c r="O490" s="11"/>
      <c r="P490" s="3"/>
      <c r="Q490" s="9"/>
    </row>
    <row r="491" spans="2:17" x14ac:dyDescent="0.25">
      <c r="B491" s="1"/>
      <c r="E491" s="3"/>
      <c r="F491" s="3"/>
      <c r="G491" s="3"/>
      <c r="H491" s="3"/>
      <c r="K491" s="3"/>
      <c r="L491" s="3"/>
      <c r="O491" s="11"/>
      <c r="P491" s="3"/>
      <c r="Q491" s="9"/>
    </row>
    <row r="492" spans="2:17" x14ac:dyDescent="0.25">
      <c r="B492" s="1"/>
      <c r="E492" s="3"/>
      <c r="F492" s="3"/>
      <c r="G492" s="3"/>
      <c r="H492" s="3"/>
      <c r="K492" s="3"/>
      <c r="L492" s="3"/>
      <c r="O492" s="11"/>
      <c r="P492" s="3"/>
      <c r="Q492" s="9"/>
    </row>
    <row r="493" spans="2:17" x14ac:dyDescent="0.25">
      <c r="B493" s="1"/>
      <c r="E493" s="3"/>
      <c r="F493" s="3"/>
      <c r="G493" s="3"/>
      <c r="H493" s="3"/>
      <c r="K493" s="3"/>
      <c r="L493" s="3"/>
      <c r="O493" s="11"/>
      <c r="P493" s="3"/>
      <c r="Q493" s="9"/>
    </row>
    <row r="494" spans="2:17" x14ac:dyDescent="0.25">
      <c r="B494" s="1"/>
      <c r="E494" s="3"/>
      <c r="F494" s="3"/>
      <c r="G494" s="3"/>
      <c r="H494" s="3"/>
      <c r="K494" s="3"/>
      <c r="L494" s="3"/>
      <c r="O494" s="11"/>
      <c r="P494" s="3"/>
      <c r="Q494" s="9"/>
    </row>
    <row r="495" spans="2:17" x14ac:dyDescent="0.25">
      <c r="B495" s="1"/>
      <c r="E495" s="3"/>
      <c r="F495" s="3"/>
      <c r="G495" s="3"/>
      <c r="H495" s="3"/>
      <c r="K495" s="3"/>
      <c r="L495" s="3"/>
      <c r="O495" s="11"/>
      <c r="P495" s="3"/>
      <c r="Q495" s="9"/>
    </row>
    <row r="496" spans="2:17" x14ac:dyDescent="0.25">
      <c r="B496" s="1"/>
      <c r="E496" s="3"/>
      <c r="F496" s="3"/>
      <c r="G496" s="3"/>
      <c r="H496" s="3"/>
      <c r="K496" s="3"/>
      <c r="L496" s="3"/>
      <c r="O496" s="11"/>
      <c r="P496" s="3"/>
      <c r="Q496" s="9"/>
    </row>
    <row r="497" spans="2:17" x14ac:dyDescent="0.25">
      <c r="B497" s="1"/>
      <c r="E497" s="3"/>
      <c r="F497" s="3"/>
      <c r="G497" s="3"/>
      <c r="H497" s="3"/>
      <c r="K497" s="3"/>
      <c r="L497" s="3"/>
      <c r="O497" s="11"/>
      <c r="P497" s="3"/>
      <c r="Q497" s="9"/>
    </row>
    <row r="498" spans="2:17" x14ac:dyDescent="0.25">
      <c r="B498" s="1"/>
      <c r="E498" s="3"/>
      <c r="F498" s="3"/>
      <c r="G498" s="3"/>
      <c r="H498" s="3"/>
      <c r="K498" s="3"/>
      <c r="L498" s="3"/>
      <c r="O498" s="11"/>
      <c r="P498" s="3"/>
      <c r="Q498" s="9"/>
    </row>
    <row r="499" spans="2:17" x14ac:dyDescent="0.25">
      <c r="B499" s="1"/>
      <c r="E499" s="3"/>
      <c r="F499" s="3"/>
      <c r="G499" s="3"/>
      <c r="H499" s="3"/>
      <c r="K499" s="3"/>
      <c r="L499" s="3"/>
      <c r="O499" s="11"/>
      <c r="P499" s="3"/>
      <c r="Q499" s="9"/>
    </row>
    <row r="500" spans="2:17" x14ac:dyDescent="0.25">
      <c r="B500" s="1"/>
      <c r="E500" s="3"/>
      <c r="F500" s="3"/>
      <c r="G500" s="3"/>
      <c r="H500" s="3"/>
      <c r="K500" s="3"/>
      <c r="L500" s="3"/>
      <c r="O500" s="11"/>
      <c r="P500" s="3"/>
      <c r="Q500" s="9"/>
    </row>
    <row r="501" spans="2:17" x14ac:dyDescent="0.25">
      <c r="B501" s="1"/>
      <c r="E501" s="3"/>
      <c r="F501" s="3"/>
      <c r="G501" s="3"/>
      <c r="H501" s="3"/>
      <c r="K501" s="3"/>
      <c r="L501" s="3"/>
      <c r="O501" s="11"/>
      <c r="P501" s="3"/>
      <c r="Q501" s="9"/>
    </row>
    <row r="502" spans="2:17" x14ac:dyDescent="0.25">
      <c r="B502" s="1"/>
      <c r="E502" s="3"/>
      <c r="F502" s="3"/>
      <c r="G502" s="3"/>
      <c r="H502" s="3"/>
      <c r="K502" s="3"/>
      <c r="L502" s="3"/>
      <c r="O502" s="11"/>
      <c r="P502" s="3"/>
      <c r="Q502" s="9"/>
    </row>
    <row r="503" spans="2:17" x14ac:dyDescent="0.25">
      <c r="B503" s="1"/>
      <c r="E503" s="3"/>
      <c r="F503" s="3"/>
      <c r="G503" s="3"/>
      <c r="H503" s="3"/>
      <c r="K503" s="3"/>
      <c r="L503" s="3"/>
      <c r="O503" s="11"/>
      <c r="P503" s="3"/>
      <c r="Q503" s="9"/>
    </row>
    <row r="504" spans="2:17" x14ac:dyDescent="0.25">
      <c r="B504" s="1"/>
      <c r="E504" s="3"/>
      <c r="F504" s="3"/>
      <c r="G504" s="3"/>
      <c r="H504" s="3"/>
      <c r="K504" s="3"/>
      <c r="L504" s="3"/>
      <c r="O504" s="11"/>
      <c r="P504" s="3"/>
      <c r="Q504" s="9"/>
    </row>
    <row r="505" spans="2:17" x14ac:dyDescent="0.25">
      <c r="B505" s="1"/>
      <c r="E505" s="3"/>
      <c r="F505" s="3"/>
      <c r="G505" s="3"/>
      <c r="H505" s="3"/>
      <c r="K505" s="3"/>
      <c r="L505" s="3"/>
      <c r="O505" s="11"/>
      <c r="P505" s="3"/>
      <c r="Q505" s="9"/>
    </row>
    <row r="506" spans="2:17" x14ac:dyDescent="0.25">
      <c r="B506" s="1"/>
      <c r="E506" s="3"/>
      <c r="F506" s="3"/>
      <c r="G506" s="3"/>
      <c r="H506" s="3"/>
      <c r="K506" s="3"/>
      <c r="L506" s="3"/>
      <c r="O506" s="11"/>
      <c r="P506" s="3"/>
      <c r="Q506" s="9"/>
    </row>
    <row r="507" spans="2:17" x14ac:dyDescent="0.25">
      <c r="B507" s="1"/>
      <c r="E507" s="3"/>
      <c r="F507" s="3"/>
      <c r="G507" s="3"/>
      <c r="H507" s="3"/>
      <c r="K507" s="3"/>
      <c r="L507" s="3"/>
      <c r="O507" s="11"/>
      <c r="P507" s="3"/>
      <c r="Q507" s="9"/>
    </row>
    <row r="508" spans="2:17" x14ac:dyDescent="0.25">
      <c r="B508" s="1"/>
      <c r="E508" s="3"/>
      <c r="F508" s="3"/>
      <c r="G508" s="3"/>
      <c r="H508" s="3"/>
      <c r="K508" s="3"/>
      <c r="L508" s="3"/>
      <c r="O508" s="11"/>
      <c r="P508" s="3"/>
      <c r="Q508" s="9"/>
    </row>
    <row r="509" spans="2:17" x14ac:dyDescent="0.25">
      <c r="B509" s="1"/>
      <c r="E509" s="3"/>
      <c r="F509" s="3"/>
      <c r="G509" s="3"/>
      <c r="H509" s="3"/>
      <c r="K509" s="3"/>
      <c r="L509" s="3"/>
      <c r="O509" s="11"/>
      <c r="P509" s="3"/>
      <c r="Q509" s="9"/>
    </row>
    <row r="510" spans="2:17" x14ac:dyDescent="0.25">
      <c r="B510" s="1"/>
      <c r="E510" s="3"/>
      <c r="F510" s="3"/>
      <c r="G510" s="3"/>
      <c r="H510" s="3"/>
      <c r="K510" s="3"/>
      <c r="L510" s="3"/>
      <c r="O510" s="11"/>
      <c r="P510" s="3"/>
      <c r="Q510" s="9"/>
    </row>
    <row r="511" spans="2:17" x14ac:dyDescent="0.25">
      <c r="B511" s="1"/>
      <c r="E511" s="3"/>
      <c r="F511" s="3"/>
      <c r="G511" s="3"/>
      <c r="H511" s="3"/>
      <c r="K511" s="3"/>
      <c r="L511" s="3"/>
      <c r="O511" s="11"/>
      <c r="P511" s="3"/>
      <c r="Q511" s="9"/>
    </row>
    <row r="512" spans="2:17" x14ac:dyDescent="0.25">
      <c r="B512" s="1"/>
      <c r="E512" s="3"/>
      <c r="F512" s="3"/>
      <c r="G512" s="3"/>
      <c r="H512" s="3"/>
      <c r="K512" s="3"/>
      <c r="L512" s="3"/>
      <c r="O512" s="11"/>
      <c r="P512" s="3"/>
      <c r="Q512" s="9"/>
    </row>
    <row r="513" spans="2:17" x14ac:dyDescent="0.25">
      <c r="B513" s="1"/>
      <c r="E513" s="3"/>
      <c r="F513" s="3"/>
      <c r="G513" s="3"/>
      <c r="H513" s="3"/>
      <c r="K513" s="3"/>
      <c r="L513" s="3"/>
      <c r="O513" s="11"/>
      <c r="P513" s="3"/>
      <c r="Q513" s="9"/>
    </row>
    <row r="514" spans="2:17" x14ac:dyDescent="0.25">
      <c r="B514" s="1"/>
      <c r="E514" s="3"/>
      <c r="F514" s="3"/>
      <c r="G514" s="3"/>
      <c r="H514" s="3"/>
      <c r="K514" s="3"/>
      <c r="L514" s="3"/>
      <c r="O514" s="11"/>
      <c r="P514" s="3"/>
      <c r="Q514" s="9"/>
    </row>
    <row r="515" spans="2:17" x14ac:dyDescent="0.25">
      <c r="B515" s="1"/>
      <c r="E515" s="3"/>
      <c r="F515" s="3"/>
      <c r="G515" s="3"/>
      <c r="H515" s="3"/>
      <c r="K515" s="3"/>
      <c r="L515" s="3"/>
      <c r="O515" s="11"/>
      <c r="P515" s="3"/>
      <c r="Q515" s="9"/>
    </row>
    <row r="516" spans="2:17" x14ac:dyDescent="0.25">
      <c r="B516" s="1"/>
      <c r="E516" s="3"/>
      <c r="F516" s="3"/>
      <c r="G516" s="3"/>
      <c r="H516" s="3"/>
      <c r="K516" s="3"/>
      <c r="L516" s="3"/>
      <c r="O516" s="11"/>
      <c r="P516" s="3"/>
      <c r="Q516" s="9"/>
    </row>
    <row r="517" spans="2:17" x14ac:dyDescent="0.25">
      <c r="B517" s="1"/>
      <c r="E517" s="3"/>
      <c r="F517" s="3"/>
      <c r="G517" s="3"/>
      <c r="H517" s="3"/>
      <c r="K517" s="3"/>
      <c r="L517" s="3"/>
      <c r="O517" s="11"/>
      <c r="P517" s="3"/>
      <c r="Q517" s="9"/>
    </row>
    <row r="518" spans="2:17" x14ac:dyDescent="0.25">
      <c r="B518" s="1"/>
      <c r="E518" s="3"/>
      <c r="F518" s="3"/>
      <c r="G518" s="3"/>
      <c r="H518" s="3"/>
      <c r="K518" s="3"/>
      <c r="L518" s="3"/>
      <c r="O518" s="11"/>
      <c r="P518" s="3"/>
      <c r="Q518" s="9"/>
    </row>
    <row r="519" spans="2:17" x14ac:dyDescent="0.25">
      <c r="B519" s="1"/>
      <c r="E519" s="3"/>
      <c r="F519" s="3"/>
      <c r="G519" s="3"/>
      <c r="H519" s="3"/>
      <c r="K519" s="3"/>
      <c r="L519" s="3"/>
      <c r="O519" s="11"/>
      <c r="P519" s="3"/>
      <c r="Q519" s="9"/>
    </row>
    <row r="520" spans="2:17" x14ac:dyDescent="0.25">
      <c r="B520" s="1"/>
      <c r="E520" s="3"/>
      <c r="F520" s="3"/>
      <c r="G520" s="3"/>
      <c r="H520" s="3"/>
      <c r="K520" s="3"/>
      <c r="L520" s="3"/>
      <c r="O520" s="11"/>
      <c r="P520" s="3"/>
      <c r="Q520" s="9"/>
    </row>
    <row r="521" spans="2:17" x14ac:dyDescent="0.25">
      <c r="B521" s="1"/>
      <c r="E521" s="3"/>
      <c r="F521" s="3"/>
      <c r="G521" s="3"/>
      <c r="H521" s="3"/>
      <c r="K521" s="3"/>
      <c r="L521" s="3"/>
      <c r="O521" s="11"/>
      <c r="P521" s="3"/>
      <c r="Q521" s="9"/>
    </row>
    <row r="522" spans="2:17" x14ac:dyDescent="0.25">
      <c r="B522" s="1"/>
      <c r="E522" s="3"/>
      <c r="F522" s="3"/>
      <c r="G522" s="3"/>
      <c r="H522" s="3"/>
      <c r="K522" s="3"/>
      <c r="L522" s="3"/>
      <c r="O522" s="11"/>
      <c r="P522" s="3"/>
      <c r="Q522" s="9"/>
    </row>
    <row r="523" spans="2:17" x14ac:dyDescent="0.25">
      <c r="B523" s="1"/>
      <c r="E523" s="3"/>
      <c r="F523" s="3"/>
      <c r="G523" s="3"/>
      <c r="H523" s="3"/>
      <c r="K523" s="3"/>
      <c r="L523" s="3"/>
      <c r="O523" s="11"/>
      <c r="P523" s="3"/>
      <c r="Q523" s="9"/>
    </row>
    <row r="524" spans="2:17" x14ac:dyDescent="0.25">
      <c r="B524" s="1"/>
      <c r="E524" s="3"/>
      <c r="F524" s="3"/>
      <c r="G524" s="3"/>
      <c r="H524" s="3"/>
      <c r="K524" s="3"/>
      <c r="L524" s="3"/>
      <c r="O524" s="11"/>
      <c r="P524" s="3"/>
      <c r="Q524" s="9"/>
    </row>
    <row r="525" spans="2:17" x14ac:dyDescent="0.25">
      <c r="B525" s="1"/>
      <c r="E525" s="3"/>
      <c r="F525" s="3"/>
      <c r="G525" s="3"/>
      <c r="H525" s="3"/>
      <c r="K525" s="3"/>
      <c r="L525" s="3"/>
      <c r="O525" s="11"/>
      <c r="P525" s="3"/>
      <c r="Q525" s="9"/>
    </row>
    <row r="526" spans="2:17" x14ac:dyDescent="0.25">
      <c r="B526" s="1"/>
      <c r="E526" s="3"/>
      <c r="F526" s="3"/>
      <c r="G526" s="3"/>
      <c r="H526" s="3"/>
      <c r="K526" s="3"/>
      <c r="L526" s="3"/>
      <c r="O526" s="11"/>
      <c r="P526" s="3"/>
      <c r="Q526" s="9"/>
    </row>
    <row r="527" spans="2:17" x14ac:dyDescent="0.25">
      <c r="B527" s="1"/>
      <c r="E527" s="3"/>
      <c r="F527" s="3"/>
      <c r="G527" s="3"/>
      <c r="H527" s="3"/>
      <c r="K527" s="3"/>
      <c r="L527" s="3"/>
      <c r="O527" s="11"/>
      <c r="P527" s="3"/>
      <c r="Q527" s="9"/>
    </row>
    <row r="528" spans="2:17" x14ac:dyDescent="0.25">
      <c r="B528" s="1"/>
      <c r="E528" s="3"/>
      <c r="F528" s="3"/>
      <c r="G528" s="3"/>
      <c r="H528" s="3"/>
      <c r="K528" s="3"/>
      <c r="L528" s="3"/>
      <c r="O528" s="11"/>
      <c r="P528" s="3"/>
      <c r="Q528" s="9"/>
    </row>
    <row r="529" spans="2:17" x14ac:dyDescent="0.25">
      <c r="B529" s="1"/>
      <c r="E529" s="3"/>
      <c r="F529" s="3"/>
      <c r="G529" s="3"/>
      <c r="H529" s="3"/>
      <c r="K529" s="3"/>
      <c r="L529" s="3"/>
      <c r="O529" s="11"/>
      <c r="P529" s="3"/>
      <c r="Q529" s="9"/>
    </row>
    <row r="530" spans="2:17" x14ac:dyDescent="0.25">
      <c r="B530" s="1"/>
      <c r="E530" s="3"/>
      <c r="F530" s="3"/>
      <c r="G530" s="3"/>
      <c r="H530" s="3"/>
      <c r="K530" s="3"/>
      <c r="L530" s="3"/>
      <c r="O530" s="11"/>
      <c r="P530" s="3"/>
      <c r="Q530" s="9"/>
    </row>
    <row r="531" spans="2:17" x14ac:dyDescent="0.25">
      <c r="B531" s="1"/>
      <c r="E531" s="3"/>
      <c r="F531" s="3"/>
      <c r="G531" s="3"/>
      <c r="H531" s="3"/>
      <c r="K531" s="3"/>
      <c r="L531" s="3"/>
      <c r="O531" s="11"/>
      <c r="P531" s="3"/>
      <c r="Q531" s="9"/>
    </row>
    <row r="532" spans="2:17" x14ac:dyDescent="0.25">
      <c r="B532" s="1"/>
      <c r="E532" s="3"/>
      <c r="F532" s="3"/>
      <c r="G532" s="3"/>
      <c r="H532" s="3"/>
      <c r="K532" s="3"/>
      <c r="L532" s="3"/>
      <c r="O532" s="11"/>
      <c r="P532" s="3"/>
      <c r="Q532" s="9"/>
    </row>
    <row r="533" spans="2:17" x14ac:dyDescent="0.25">
      <c r="B533" s="1"/>
      <c r="E533" s="3"/>
      <c r="F533" s="3"/>
      <c r="G533" s="3"/>
      <c r="H533" s="3"/>
      <c r="K533" s="3"/>
      <c r="L533" s="3"/>
      <c r="O533" s="11"/>
      <c r="P533" s="3"/>
      <c r="Q533" s="9"/>
    </row>
    <row r="534" spans="2:17" x14ac:dyDescent="0.25">
      <c r="B534" s="1"/>
      <c r="E534" s="3"/>
      <c r="F534" s="3"/>
      <c r="G534" s="3"/>
      <c r="H534" s="3"/>
      <c r="K534" s="3"/>
      <c r="L534" s="3"/>
      <c r="O534" s="11"/>
      <c r="P534" s="3"/>
      <c r="Q534" s="9"/>
    </row>
    <row r="535" spans="2:17" x14ac:dyDescent="0.25">
      <c r="B535" s="1"/>
      <c r="E535" s="3"/>
      <c r="F535" s="3"/>
      <c r="G535" s="3"/>
      <c r="H535" s="3"/>
      <c r="K535" s="3"/>
      <c r="L535" s="3"/>
      <c r="O535" s="11"/>
      <c r="P535" s="3"/>
      <c r="Q535" s="9"/>
    </row>
    <row r="536" spans="2:17" x14ac:dyDescent="0.25">
      <c r="B536" s="1"/>
      <c r="E536" s="3"/>
      <c r="F536" s="3"/>
      <c r="G536" s="3"/>
      <c r="H536" s="3"/>
      <c r="K536" s="3"/>
      <c r="L536" s="3"/>
      <c r="O536" s="11"/>
      <c r="P536" s="3"/>
      <c r="Q536" s="9"/>
    </row>
    <row r="537" spans="2:17" x14ac:dyDescent="0.25">
      <c r="B537" s="1"/>
      <c r="E537" s="3"/>
      <c r="F537" s="3"/>
      <c r="G537" s="3"/>
      <c r="H537" s="3"/>
      <c r="K537" s="3"/>
      <c r="L537" s="3"/>
      <c r="O537" s="11"/>
      <c r="P537" s="3"/>
      <c r="Q537" s="9"/>
    </row>
    <row r="538" spans="2:17" x14ac:dyDescent="0.25">
      <c r="B538" s="1"/>
      <c r="E538" s="3"/>
      <c r="F538" s="3"/>
      <c r="G538" s="3"/>
      <c r="H538" s="3"/>
      <c r="K538" s="3"/>
      <c r="L538" s="3"/>
      <c r="O538" s="11"/>
      <c r="P538" s="3"/>
      <c r="Q538" s="9"/>
    </row>
    <row r="539" spans="2:17" x14ac:dyDescent="0.25">
      <c r="B539" s="1"/>
      <c r="E539" s="3"/>
      <c r="F539" s="3"/>
      <c r="G539" s="3"/>
      <c r="H539" s="3"/>
      <c r="K539" s="3"/>
      <c r="L539" s="3"/>
      <c r="O539" s="11"/>
      <c r="P539" s="3"/>
      <c r="Q539" s="9"/>
    </row>
    <row r="540" spans="2:17" x14ac:dyDescent="0.25">
      <c r="B540" s="1"/>
      <c r="E540" s="3"/>
      <c r="F540" s="3"/>
      <c r="G540" s="3"/>
      <c r="H540" s="3"/>
      <c r="K540" s="3"/>
      <c r="L540" s="3"/>
      <c r="O540" s="11"/>
      <c r="P540" s="3"/>
      <c r="Q540" s="9"/>
    </row>
    <row r="541" spans="2:17" x14ac:dyDescent="0.25">
      <c r="B541" s="1"/>
      <c r="E541" s="3"/>
      <c r="F541" s="3"/>
      <c r="G541" s="3"/>
      <c r="H541" s="3"/>
      <c r="K541" s="3"/>
      <c r="L541" s="3"/>
      <c r="O541" s="11"/>
      <c r="P541" s="3"/>
      <c r="Q541" s="9"/>
    </row>
    <row r="542" spans="2:17" x14ac:dyDescent="0.25">
      <c r="B542" s="1"/>
      <c r="E542" s="3"/>
      <c r="F542" s="3"/>
      <c r="G542" s="3"/>
      <c r="H542" s="3"/>
      <c r="K542" s="3"/>
      <c r="L542" s="3"/>
      <c r="O542" s="11"/>
      <c r="P542" s="3"/>
      <c r="Q542" s="9"/>
    </row>
    <row r="543" spans="2:17" x14ac:dyDescent="0.25">
      <c r="B543" s="1"/>
      <c r="E543" s="3"/>
      <c r="F543" s="3"/>
      <c r="G543" s="3"/>
      <c r="H543" s="3"/>
      <c r="K543" s="3"/>
      <c r="L543" s="3"/>
      <c r="O543" s="11"/>
      <c r="P543" s="3"/>
      <c r="Q543" s="9"/>
    </row>
    <row r="544" spans="2:17" x14ac:dyDescent="0.25">
      <c r="B544" s="1"/>
      <c r="E544" s="3"/>
      <c r="F544" s="3"/>
      <c r="G544" s="3"/>
      <c r="H544" s="3"/>
      <c r="K544" s="3"/>
      <c r="L544" s="3"/>
      <c r="O544" s="11"/>
      <c r="P544" s="3"/>
      <c r="Q544" s="9"/>
    </row>
    <row r="545" spans="2:17" x14ac:dyDescent="0.25">
      <c r="B545" s="1"/>
      <c r="E545" s="3"/>
      <c r="F545" s="3"/>
      <c r="G545" s="3"/>
      <c r="H545" s="3"/>
      <c r="K545" s="3"/>
      <c r="L545" s="3"/>
      <c r="O545" s="11"/>
      <c r="P545" s="3"/>
      <c r="Q545" s="9"/>
    </row>
    <row r="546" spans="2:17" x14ac:dyDescent="0.25">
      <c r="B546" s="1"/>
      <c r="E546" s="3"/>
      <c r="F546" s="3"/>
      <c r="G546" s="3"/>
      <c r="H546" s="3"/>
      <c r="K546" s="3"/>
      <c r="L546" s="3"/>
      <c r="O546" s="11"/>
      <c r="P546" s="3"/>
      <c r="Q546" s="9"/>
    </row>
    <row r="547" spans="2:17" x14ac:dyDescent="0.25">
      <c r="B547" s="1"/>
      <c r="E547" s="3"/>
      <c r="F547" s="3"/>
      <c r="G547" s="3"/>
      <c r="H547" s="3"/>
      <c r="K547" s="3"/>
      <c r="L547" s="3"/>
      <c r="O547" s="11"/>
      <c r="P547" s="3"/>
      <c r="Q547" s="9"/>
    </row>
    <row r="548" spans="2:17" x14ac:dyDescent="0.25">
      <c r="B548" s="1"/>
      <c r="E548" s="3"/>
      <c r="F548" s="3"/>
      <c r="G548" s="3"/>
      <c r="H548" s="3"/>
      <c r="K548" s="3"/>
      <c r="L548" s="3"/>
      <c r="O548" s="11"/>
      <c r="P548" s="3"/>
      <c r="Q548" s="9"/>
    </row>
    <row r="549" spans="2:17" x14ac:dyDescent="0.25">
      <c r="B549" s="1"/>
      <c r="E549" s="3"/>
      <c r="F549" s="3"/>
      <c r="G549" s="3"/>
      <c r="H549" s="3"/>
      <c r="K549" s="3"/>
      <c r="L549" s="3"/>
      <c r="O549" s="11"/>
      <c r="P549" s="3"/>
      <c r="Q549" s="9"/>
    </row>
    <row r="550" spans="2:17" x14ac:dyDescent="0.25">
      <c r="B550" s="1"/>
      <c r="E550" s="3"/>
      <c r="F550" s="3"/>
      <c r="G550" s="3"/>
      <c r="H550" s="3"/>
      <c r="K550" s="3"/>
      <c r="L550" s="3"/>
      <c r="O550" s="11"/>
      <c r="P550" s="3"/>
      <c r="Q550" s="9"/>
    </row>
    <row r="551" spans="2:17" x14ac:dyDescent="0.25">
      <c r="B551" s="1"/>
      <c r="E551" s="3"/>
      <c r="F551" s="3"/>
      <c r="G551" s="3"/>
      <c r="H551" s="3"/>
      <c r="K551" s="3"/>
      <c r="L551" s="3"/>
      <c r="O551" s="11"/>
      <c r="P551" s="3"/>
      <c r="Q551" s="9"/>
    </row>
    <row r="552" spans="2:17" x14ac:dyDescent="0.25">
      <c r="B552" s="1"/>
      <c r="E552" s="3"/>
      <c r="F552" s="3"/>
      <c r="G552" s="3"/>
      <c r="H552" s="3"/>
      <c r="K552" s="3"/>
      <c r="L552" s="3"/>
      <c r="O552" s="11"/>
      <c r="P552" s="3"/>
      <c r="Q552" s="9"/>
    </row>
    <row r="553" spans="2:17" x14ac:dyDescent="0.25">
      <c r="B553" s="1"/>
      <c r="E553" s="3"/>
      <c r="F553" s="3"/>
      <c r="G553" s="3"/>
      <c r="H553" s="3"/>
      <c r="K553" s="3"/>
      <c r="L553" s="3"/>
      <c r="O553" s="11"/>
      <c r="P553" s="3"/>
      <c r="Q553" s="9"/>
    </row>
    <row r="554" spans="2:17" x14ac:dyDescent="0.25">
      <c r="B554" s="1"/>
      <c r="E554" s="3"/>
      <c r="F554" s="3"/>
      <c r="G554" s="3"/>
      <c r="H554" s="3"/>
      <c r="K554" s="3"/>
      <c r="L554" s="3"/>
      <c r="O554" s="11"/>
      <c r="P554" s="3"/>
      <c r="Q554" s="9"/>
    </row>
    <row r="555" spans="2:17" x14ac:dyDescent="0.25">
      <c r="B555" s="1"/>
      <c r="E555" s="3"/>
      <c r="F555" s="3"/>
      <c r="G555" s="3"/>
      <c r="H555" s="3"/>
      <c r="K555" s="3"/>
      <c r="L555" s="3"/>
      <c r="O555" s="11"/>
      <c r="P555" s="3"/>
      <c r="Q555" s="9"/>
    </row>
    <row r="556" spans="2:17" x14ac:dyDescent="0.25">
      <c r="B556" s="1"/>
      <c r="E556" s="3"/>
      <c r="F556" s="3"/>
      <c r="G556" s="3"/>
      <c r="H556" s="3"/>
      <c r="K556" s="3"/>
      <c r="L556" s="3"/>
      <c r="O556" s="11"/>
      <c r="P556" s="3"/>
      <c r="Q556" s="9"/>
    </row>
    <row r="557" spans="2:17" x14ac:dyDescent="0.25">
      <c r="B557" s="1"/>
      <c r="E557" s="3"/>
      <c r="F557" s="3"/>
      <c r="G557" s="3"/>
      <c r="H557" s="3"/>
      <c r="K557" s="3"/>
      <c r="L557" s="3"/>
      <c r="O557" s="11"/>
      <c r="P557" s="3"/>
      <c r="Q557" s="9"/>
    </row>
    <row r="558" spans="2:17" x14ac:dyDescent="0.25">
      <c r="B558" s="1"/>
      <c r="E558" s="3"/>
      <c r="F558" s="3"/>
      <c r="G558" s="3"/>
      <c r="H558" s="3"/>
      <c r="K558" s="3"/>
      <c r="L558" s="3"/>
      <c r="O558" s="11"/>
      <c r="P558" s="3"/>
      <c r="Q558" s="9"/>
    </row>
    <row r="559" spans="2:17" x14ac:dyDescent="0.25">
      <c r="B559" s="1"/>
      <c r="E559" s="3"/>
      <c r="F559" s="3"/>
      <c r="G559" s="3"/>
      <c r="H559" s="3"/>
      <c r="K559" s="3"/>
      <c r="L559" s="3"/>
      <c r="O559" s="11"/>
      <c r="P559" s="3"/>
      <c r="Q559" s="9"/>
    </row>
    <row r="560" spans="2:17" x14ac:dyDescent="0.25">
      <c r="B560" s="1"/>
      <c r="E560" s="3"/>
      <c r="F560" s="3"/>
      <c r="G560" s="3"/>
      <c r="H560" s="3"/>
      <c r="K560" s="3"/>
      <c r="L560" s="3"/>
      <c r="O560" s="11"/>
      <c r="P560" s="3"/>
      <c r="Q560" s="9"/>
    </row>
    <row r="561" spans="2:17" x14ac:dyDescent="0.25">
      <c r="B561" s="1"/>
      <c r="E561" s="3"/>
      <c r="F561" s="3"/>
      <c r="G561" s="3"/>
      <c r="H561" s="3"/>
      <c r="K561" s="3"/>
      <c r="L561" s="3"/>
      <c r="O561" s="11"/>
      <c r="P561" s="3"/>
      <c r="Q561" s="9"/>
    </row>
    <row r="562" spans="2:17" x14ac:dyDescent="0.25">
      <c r="B562" s="1"/>
      <c r="E562" s="3"/>
      <c r="F562" s="3"/>
      <c r="G562" s="3"/>
      <c r="H562" s="3"/>
      <c r="K562" s="3"/>
      <c r="L562" s="3"/>
      <c r="O562" s="11"/>
      <c r="P562" s="3"/>
      <c r="Q562" s="9"/>
    </row>
    <row r="563" spans="2:17" x14ac:dyDescent="0.25">
      <c r="B563" s="1"/>
      <c r="E563" s="3"/>
      <c r="F563" s="3"/>
      <c r="G563" s="3"/>
      <c r="H563" s="3"/>
      <c r="K563" s="3"/>
      <c r="L563" s="3"/>
      <c r="O563" s="11"/>
      <c r="P563" s="3"/>
      <c r="Q563" s="9"/>
    </row>
    <row r="564" spans="2:17" x14ac:dyDescent="0.25">
      <c r="B564" s="1"/>
      <c r="E564" s="3"/>
      <c r="F564" s="3"/>
      <c r="G564" s="3"/>
      <c r="H564" s="3"/>
      <c r="K564" s="3"/>
      <c r="L564" s="3"/>
      <c r="O564" s="11"/>
      <c r="P564" s="3"/>
      <c r="Q564" s="9"/>
    </row>
    <row r="565" spans="2:17" x14ac:dyDescent="0.25">
      <c r="B565" s="1"/>
      <c r="E565" s="3"/>
      <c r="F565" s="3"/>
      <c r="G565" s="3"/>
      <c r="H565" s="3"/>
      <c r="K565" s="3"/>
      <c r="L565" s="3"/>
      <c r="O565" s="11"/>
      <c r="P565" s="3"/>
      <c r="Q565" s="9"/>
    </row>
    <row r="566" spans="2:17" x14ac:dyDescent="0.25">
      <c r="B566" s="1"/>
      <c r="E566" s="3"/>
      <c r="F566" s="3"/>
      <c r="G566" s="3"/>
      <c r="H566" s="3"/>
      <c r="K566" s="3"/>
      <c r="L566" s="3"/>
      <c r="O566" s="11"/>
      <c r="P566" s="3"/>
      <c r="Q566" s="9"/>
    </row>
    <row r="567" spans="2:17" x14ac:dyDescent="0.25">
      <c r="B567" s="1"/>
      <c r="E567" s="3"/>
      <c r="F567" s="3"/>
      <c r="G567" s="3"/>
      <c r="H567" s="3"/>
      <c r="K567" s="3"/>
      <c r="L567" s="3"/>
      <c r="O567" s="11"/>
      <c r="P567" s="3"/>
      <c r="Q567" s="9"/>
    </row>
    <row r="568" spans="2:17" x14ac:dyDescent="0.25">
      <c r="B568" s="1"/>
      <c r="E568" s="3"/>
      <c r="F568" s="3"/>
      <c r="G568" s="3"/>
      <c r="H568" s="3"/>
      <c r="K568" s="3"/>
      <c r="L568" s="3"/>
      <c r="O568" s="11"/>
      <c r="P568" s="3"/>
      <c r="Q568" s="9"/>
    </row>
    <row r="569" spans="2:17" x14ac:dyDescent="0.25">
      <c r="B569" s="1"/>
      <c r="E569" s="3"/>
      <c r="F569" s="3"/>
      <c r="G569" s="3"/>
      <c r="H569" s="3"/>
      <c r="K569" s="3"/>
      <c r="L569" s="3"/>
      <c r="O569" s="11"/>
      <c r="P569" s="3"/>
      <c r="Q569" s="9"/>
    </row>
    <row r="570" spans="2:17" x14ac:dyDescent="0.25">
      <c r="B570" s="1"/>
      <c r="E570" s="3"/>
      <c r="F570" s="3"/>
      <c r="G570" s="3"/>
      <c r="H570" s="3"/>
      <c r="K570" s="3"/>
      <c r="L570" s="3"/>
      <c r="O570" s="11"/>
      <c r="P570" s="3"/>
      <c r="Q570" s="9"/>
    </row>
    <row r="571" spans="2:17" x14ac:dyDescent="0.25">
      <c r="B571" s="1"/>
      <c r="E571" s="3"/>
      <c r="F571" s="3"/>
      <c r="G571" s="3"/>
      <c r="H571" s="3"/>
      <c r="K571" s="3"/>
      <c r="L571" s="3"/>
      <c r="O571" s="11"/>
      <c r="P571" s="3"/>
      <c r="Q571" s="9"/>
    </row>
    <row r="572" spans="2:17" x14ac:dyDescent="0.25">
      <c r="B572" s="1"/>
      <c r="E572" s="3"/>
      <c r="F572" s="3"/>
      <c r="G572" s="3"/>
      <c r="H572" s="3"/>
      <c r="K572" s="3"/>
      <c r="L572" s="3"/>
      <c r="O572" s="11"/>
      <c r="P572" s="3"/>
      <c r="Q572" s="9"/>
    </row>
    <row r="573" spans="2:17" x14ac:dyDescent="0.25">
      <c r="B573" s="1"/>
      <c r="E573" s="3"/>
      <c r="F573" s="3"/>
      <c r="G573" s="3"/>
      <c r="H573" s="3"/>
      <c r="K573" s="3"/>
      <c r="L573" s="3"/>
      <c r="O573" s="11"/>
      <c r="P573" s="3"/>
      <c r="Q573" s="9"/>
    </row>
    <row r="574" spans="2:17" x14ac:dyDescent="0.25">
      <c r="B574" s="1"/>
      <c r="E574" s="3"/>
      <c r="F574" s="3"/>
      <c r="G574" s="3"/>
      <c r="H574" s="3"/>
      <c r="K574" s="3"/>
      <c r="L574" s="3"/>
      <c r="O574" s="11"/>
      <c r="P574" s="3"/>
      <c r="Q574" s="9"/>
    </row>
    <row r="575" spans="2:17" x14ac:dyDescent="0.25">
      <c r="B575" s="1"/>
      <c r="E575" s="3"/>
      <c r="F575" s="3"/>
      <c r="G575" s="3"/>
      <c r="H575" s="3"/>
      <c r="K575" s="3"/>
      <c r="L575" s="3"/>
      <c r="O575" s="11"/>
      <c r="P575" s="3"/>
      <c r="Q575" s="9"/>
    </row>
    <row r="576" spans="2:17" x14ac:dyDescent="0.25">
      <c r="B576" s="1"/>
      <c r="E576" s="3"/>
      <c r="F576" s="3"/>
      <c r="G576" s="3"/>
      <c r="H576" s="3"/>
      <c r="K576" s="3"/>
      <c r="L576" s="3"/>
      <c r="O576" s="11"/>
      <c r="P576" s="3"/>
      <c r="Q576" s="9"/>
    </row>
    <row r="577" spans="2:17" x14ac:dyDescent="0.25">
      <c r="B577" s="1"/>
      <c r="E577" s="3"/>
      <c r="F577" s="3"/>
      <c r="G577" s="3"/>
      <c r="H577" s="3"/>
      <c r="K577" s="3"/>
      <c r="L577" s="3"/>
      <c r="O577" s="11"/>
      <c r="P577" s="3"/>
      <c r="Q577" s="9"/>
    </row>
    <row r="578" spans="2:17" x14ac:dyDescent="0.25">
      <c r="B578" s="1"/>
      <c r="E578" s="3"/>
      <c r="F578" s="3"/>
      <c r="G578" s="3"/>
      <c r="H578" s="3"/>
      <c r="K578" s="3"/>
      <c r="L578" s="3"/>
      <c r="O578" s="11"/>
      <c r="P578" s="3"/>
      <c r="Q578" s="9"/>
    </row>
    <row r="579" spans="2:17" x14ac:dyDescent="0.25">
      <c r="B579" s="1"/>
      <c r="E579" s="3"/>
      <c r="F579" s="3"/>
      <c r="G579" s="3"/>
      <c r="H579" s="3"/>
      <c r="K579" s="3"/>
      <c r="L579" s="3"/>
      <c r="O579" s="11"/>
      <c r="P579" s="3"/>
      <c r="Q579" s="9"/>
    </row>
    <row r="580" spans="2:17" x14ac:dyDescent="0.25">
      <c r="B580" s="1"/>
      <c r="E580" s="3"/>
      <c r="F580" s="3"/>
      <c r="G580" s="3"/>
      <c r="H580" s="3"/>
      <c r="K580" s="3"/>
      <c r="L580" s="3"/>
      <c r="O580" s="11"/>
      <c r="P580" s="3"/>
      <c r="Q580" s="9"/>
    </row>
    <row r="581" spans="2:17" x14ac:dyDescent="0.25">
      <c r="B581" s="1"/>
      <c r="E581" s="3"/>
      <c r="F581" s="3"/>
      <c r="G581" s="3"/>
      <c r="H581" s="3"/>
      <c r="K581" s="3"/>
      <c r="L581" s="3"/>
      <c r="O581" s="11"/>
      <c r="P581" s="3"/>
      <c r="Q581" s="9"/>
    </row>
    <row r="582" spans="2:17" x14ac:dyDescent="0.25">
      <c r="B582" s="1"/>
      <c r="E582" s="3"/>
      <c r="F582" s="3"/>
      <c r="G582" s="3"/>
      <c r="H582" s="3"/>
      <c r="K582" s="3"/>
      <c r="L582" s="3"/>
      <c r="O582" s="11"/>
      <c r="P582" s="3"/>
      <c r="Q582" s="9"/>
    </row>
    <row r="583" spans="2:17" x14ac:dyDescent="0.25">
      <c r="B583" s="1"/>
      <c r="E583" s="3"/>
      <c r="F583" s="3"/>
      <c r="G583" s="3"/>
      <c r="H583" s="3"/>
      <c r="K583" s="3"/>
      <c r="L583" s="3"/>
      <c r="O583" s="11"/>
      <c r="P583" s="3"/>
      <c r="Q583" s="9"/>
    </row>
    <row r="584" spans="2:17" x14ac:dyDescent="0.25">
      <c r="B584" s="1"/>
      <c r="E584" s="3"/>
      <c r="F584" s="3"/>
      <c r="G584" s="3"/>
      <c r="H584" s="3"/>
      <c r="K584" s="3"/>
      <c r="L584" s="3"/>
      <c r="O584" s="11"/>
      <c r="P584" s="3"/>
      <c r="Q584" s="9"/>
    </row>
    <row r="585" spans="2:17" x14ac:dyDescent="0.25">
      <c r="B585" s="1"/>
      <c r="E585" s="3"/>
      <c r="F585" s="3"/>
      <c r="G585" s="3"/>
      <c r="H585" s="3"/>
      <c r="K585" s="3"/>
      <c r="L585" s="3"/>
      <c r="O585" s="11"/>
      <c r="P585" s="3"/>
      <c r="Q585" s="9"/>
    </row>
    <row r="586" spans="2:17" x14ac:dyDescent="0.25">
      <c r="B586" s="1"/>
      <c r="E586" s="3"/>
      <c r="F586" s="3"/>
      <c r="G586" s="3"/>
      <c r="H586" s="3"/>
      <c r="K586" s="3"/>
      <c r="L586" s="3"/>
      <c r="O586" s="11"/>
      <c r="P586" s="3"/>
      <c r="Q586" s="9"/>
    </row>
    <row r="587" spans="2:17" x14ac:dyDescent="0.25">
      <c r="B587" s="1"/>
      <c r="E587" s="3"/>
      <c r="F587" s="3"/>
      <c r="G587" s="3"/>
      <c r="H587" s="3"/>
      <c r="K587" s="3"/>
      <c r="L587" s="3"/>
      <c r="O587" s="11"/>
      <c r="P587" s="3"/>
      <c r="Q587" s="9"/>
    </row>
    <row r="588" spans="2:17" x14ac:dyDescent="0.25">
      <c r="B588" s="1"/>
      <c r="E588" s="3"/>
      <c r="F588" s="3"/>
      <c r="G588" s="3"/>
      <c r="H588" s="3"/>
      <c r="K588" s="3"/>
      <c r="L588" s="3"/>
      <c r="O588" s="11"/>
      <c r="P588" s="3"/>
      <c r="Q588" s="9"/>
    </row>
    <row r="589" spans="2:17" x14ac:dyDescent="0.25">
      <c r="B589" s="1"/>
      <c r="E589" s="3"/>
      <c r="F589" s="3"/>
      <c r="G589" s="3"/>
      <c r="H589" s="3"/>
      <c r="K589" s="3"/>
      <c r="L589" s="3"/>
      <c r="O589" s="11"/>
      <c r="P589" s="3"/>
      <c r="Q589" s="9"/>
    </row>
    <row r="590" spans="2:17" x14ac:dyDescent="0.25">
      <c r="B590" s="1"/>
      <c r="E590" s="3"/>
      <c r="F590" s="3"/>
      <c r="G590" s="3"/>
      <c r="H590" s="3"/>
      <c r="K590" s="3"/>
      <c r="L590" s="3"/>
      <c r="O590" s="11"/>
      <c r="P590" s="3"/>
      <c r="Q590" s="9"/>
    </row>
    <row r="591" spans="2:17" x14ac:dyDescent="0.25">
      <c r="B591" s="1"/>
      <c r="E591" s="3"/>
      <c r="F591" s="3"/>
      <c r="G591" s="3"/>
      <c r="H591" s="3"/>
      <c r="K591" s="3"/>
      <c r="L591" s="3"/>
      <c r="O591" s="11"/>
      <c r="P591" s="3"/>
      <c r="Q591" s="9"/>
    </row>
    <row r="592" spans="2:17" x14ac:dyDescent="0.25">
      <c r="B592" s="1"/>
      <c r="E592" s="3"/>
      <c r="F592" s="3"/>
      <c r="G592" s="3"/>
      <c r="H592" s="3"/>
      <c r="K592" s="3"/>
      <c r="L592" s="3"/>
      <c r="O592" s="11"/>
      <c r="P592" s="3"/>
      <c r="Q592" s="9"/>
    </row>
    <row r="593" spans="2:17" x14ac:dyDescent="0.25">
      <c r="B593" s="1"/>
      <c r="E593" s="3"/>
      <c r="F593" s="3"/>
      <c r="G593" s="3"/>
      <c r="H593" s="3"/>
      <c r="K593" s="3"/>
      <c r="L593" s="3"/>
      <c r="O593" s="11"/>
      <c r="P593" s="3"/>
      <c r="Q593" s="9"/>
    </row>
    <row r="594" spans="2:17" x14ac:dyDescent="0.25">
      <c r="B594" s="1"/>
      <c r="E594" s="3"/>
      <c r="F594" s="3"/>
      <c r="G594" s="3"/>
      <c r="H594" s="3"/>
      <c r="K594" s="3"/>
      <c r="L594" s="3"/>
      <c r="O594" s="11"/>
      <c r="P594" s="3"/>
      <c r="Q594" s="9"/>
    </row>
    <row r="595" spans="2:17" x14ac:dyDescent="0.25">
      <c r="B595" s="1"/>
      <c r="E595" s="3"/>
      <c r="F595" s="3"/>
      <c r="G595" s="3"/>
      <c r="H595" s="3"/>
      <c r="K595" s="3"/>
      <c r="L595" s="3"/>
      <c r="O595" s="11"/>
      <c r="P595" s="3"/>
      <c r="Q595" s="9"/>
    </row>
    <row r="596" spans="2:17" x14ac:dyDescent="0.25">
      <c r="B596" s="1"/>
      <c r="E596" s="3"/>
      <c r="F596" s="3"/>
      <c r="G596" s="3"/>
      <c r="H596" s="3"/>
      <c r="K596" s="3"/>
      <c r="L596" s="3"/>
      <c r="O596" s="11"/>
      <c r="P596" s="3"/>
      <c r="Q596" s="9"/>
    </row>
    <row r="597" spans="2:17" x14ac:dyDescent="0.25">
      <c r="B597" s="1"/>
      <c r="E597" s="3"/>
      <c r="F597" s="3"/>
      <c r="G597" s="3"/>
      <c r="H597" s="3"/>
      <c r="K597" s="3"/>
      <c r="L597" s="3"/>
      <c r="O597" s="11"/>
      <c r="P597" s="3"/>
      <c r="Q597" s="9"/>
    </row>
    <row r="598" spans="2:17" x14ac:dyDescent="0.25">
      <c r="B598" s="1"/>
      <c r="E598" s="3"/>
      <c r="F598" s="3"/>
      <c r="G598" s="3"/>
      <c r="H598" s="3"/>
      <c r="K598" s="3"/>
      <c r="L598" s="3"/>
      <c r="O598" s="11"/>
      <c r="P598" s="3"/>
      <c r="Q598" s="9"/>
    </row>
    <row r="599" spans="2:17" x14ac:dyDescent="0.25">
      <c r="B599" s="1"/>
      <c r="E599" s="3"/>
      <c r="F599" s="3"/>
      <c r="G599" s="3"/>
      <c r="H599" s="3"/>
      <c r="K599" s="3"/>
      <c r="L599" s="3"/>
      <c r="O599" s="11"/>
      <c r="P599" s="3"/>
      <c r="Q599" s="9"/>
    </row>
    <row r="600" spans="2:17" x14ac:dyDescent="0.25">
      <c r="B600" s="1"/>
      <c r="E600" s="3"/>
      <c r="F600" s="3"/>
      <c r="G600" s="3"/>
      <c r="H600" s="3"/>
      <c r="K600" s="3"/>
      <c r="L600" s="3"/>
      <c r="O600" s="11"/>
      <c r="P600" s="3"/>
      <c r="Q600" s="9"/>
    </row>
    <row r="601" spans="2:17" x14ac:dyDescent="0.25">
      <c r="B601" s="1"/>
      <c r="E601" s="3"/>
      <c r="F601" s="3"/>
      <c r="G601" s="3"/>
      <c r="H601" s="3"/>
      <c r="K601" s="3"/>
      <c r="L601" s="3"/>
      <c r="O601" s="11"/>
      <c r="P601" s="3"/>
      <c r="Q601" s="9"/>
    </row>
    <row r="602" spans="2:17" x14ac:dyDescent="0.25">
      <c r="B602" s="1"/>
      <c r="E602" s="3"/>
      <c r="F602" s="3"/>
      <c r="G602" s="3"/>
      <c r="H602" s="3"/>
      <c r="K602" s="3"/>
      <c r="L602" s="3"/>
      <c r="O602" s="11"/>
      <c r="P602" s="3"/>
      <c r="Q602" s="9"/>
    </row>
    <row r="603" spans="2:17" x14ac:dyDescent="0.25">
      <c r="B603" s="1"/>
      <c r="E603" s="3"/>
      <c r="F603" s="3"/>
      <c r="G603" s="3"/>
      <c r="H603" s="3"/>
      <c r="K603" s="3"/>
      <c r="L603" s="3"/>
      <c r="O603" s="11"/>
      <c r="P603" s="3"/>
      <c r="Q603" s="9"/>
    </row>
    <row r="604" spans="2:17" x14ac:dyDescent="0.25">
      <c r="B604" s="1"/>
      <c r="E604" s="3"/>
      <c r="F604" s="3"/>
      <c r="G604" s="3"/>
      <c r="H604" s="3"/>
      <c r="K604" s="3"/>
      <c r="L604" s="3"/>
      <c r="O604" s="11"/>
      <c r="P604" s="3"/>
      <c r="Q604" s="9"/>
    </row>
    <row r="605" spans="2:17" x14ac:dyDescent="0.25">
      <c r="B605" s="1"/>
      <c r="E605" s="3"/>
      <c r="F605" s="3"/>
      <c r="G605" s="3"/>
      <c r="H605" s="3"/>
      <c r="K605" s="3"/>
      <c r="L605" s="3"/>
      <c r="O605" s="11"/>
      <c r="P605" s="3"/>
      <c r="Q605" s="9"/>
    </row>
    <row r="606" spans="2:17" x14ac:dyDescent="0.25">
      <c r="B606" s="1"/>
      <c r="E606" s="3"/>
      <c r="F606" s="3"/>
      <c r="G606" s="3"/>
      <c r="H606" s="3"/>
      <c r="K606" s="3"/>
      <c r="L606" s="3"/>
      <c r="O606" s="11"/>
      <c r="P606" s="3"/>
      <c r="Q606" s="9"/>
    </row>
    <row r="607" spans="2:17" x14ac:dyDescent="0.25">
      <c r="B607" s="1"/>
      <c r="E607" s="3"/>
      <c r="F607" s="3"/>
      <c r="G607" s="3"/>
      <c r="H607" s="3"/>
      <c r="K607" s="3"/>
      <c r="L607" s="3"/>
      <c r="O607" s="11"/>
      <c r="P607" s="3"/>
      <c r="Q607" s="9"/>
    </row>
    <row r="608" spans="2:17" x14ac:dyDescent="0.25">
      <c r="B608" s="1"/>
      <c r="E608" s="3"/>
      <c r="F608" s="3"/>
      <c r="G608" s="3"/>
      <c r="H608" s="3"/>
      <c r="K608" s="3"/>
      <c r="L608" s="3"/>
      <c r="O608" s="11"/>
      <c r="P608" s="3"/>
      <c r="Q608" s="9"/>
    </row>
    <row r="609" spans="2:17" x14ac:dyDescent="0.25">
      <c r="B609" s="1"/>
      <c r="E609" s="3"/>
      <c r="F609" s="3"/>
      <c r="G609" s="3"/>
      <c r="H609" s="3"/>
      <c r="K609" s="3"/>
      <c r="L609" s="3"/>
      <c r="O609" s="11"/>
      <c r="P609" s="3"/>
      <c r="Q609" s="9"/>
    </row>
    <row r="610" spans="2:17" x14ac:dyDescent="0.25">
      <c r="B610" s="1"/>
      <c r="E610" s="3"/>
      <c r="F610" s="3"/>
      <c r="G610" s="3"/>
      <c r="H610" s="3"/>
      <c r="K610" s="3"/>
      <c r="L610" s="3"/>
      <c r="O610" s="11"/>
      <c r="P610" s="3"/>
      <c r="Q610" s="9"/>
    </row>
    <row r="611" spans="2:17" x14ac:dyDescent="0.25">
      <c r="B611" s="1"/>
      <c r="E611" s="3"/>
      <c r="F611" s="3"/>
      <c r="G611" s="3"/>
      <c r="H611" s="3"/>
      <c r="K611" s="3"/>
      <c r="L611" s="3"/>
      <c r="O611" s="11"/>
      <c r="P611" s="3"/>
      <c r="Q611" s="9"/>
    </row>
    <row r="612" spans="2:17" x14ac:dyDescent="0.25">
      <c r="B612" s="1"/>
      <c r="E612" s="3"/>
      <c r="F612" s="3"/>
      <c r="G612" s="3"/>
      <c r="H612" s="3"/>
      <c r="K612" s="3"/>
      <c r="L612" s="3"/>
      <c r="O612" s="11"/>
      <c r="P612" s="3"/>
      <c r="Q612" s="9"/>
    </row>
    <row r="613" spans="2:17" x14ac:dyDescent="0.25">
      <c r="B613" s="1"/>
      <c r="E613" s="3"/>
      <c r="F613" s="3"/>
      <c r="G613" s="3"/>
      <c r="H613" s="3"/>
      <c r="K613" s="3"/>
      <c r="L613" s="3"/>
      <c r="O613" s="11"/>
      <c r="P613" s="3"/>
      <c r="Q613" s="9"/>
    </row>
    <row r="614" spans="2:17" x14ac:dyDescent="0.25">
      <c r="B614" s="1"/>
      <c r="E614" s="3"/>
      <c r="F614" s="3"/>
      <c r="G614" s="3"/>
      <c r="H614" s="3"/>
      <c r="K614" s="3"/>
      <c r="L614" s="3"/>
      <c r="O614" s="11"/>
      <c r="P614" s="3"/>
      <c r="Q614" s="9"/>
    </row>
    <row r="615" spans="2:17" x14ac:dyDescent="0.25">
      <c r="B615" s="1"/>
      <c r="E615" s="3"/>
      <c r="F615" s="3"/>
      <c r="G615" s="3"/>
      <c r="H615" s="3"/>
      <c r="K615" s="3"/>
      <c r="L615" s="3"/>
      <c r="O615" s="11"/>
      <c r="P615" s="3"/>
      <c r="Q615" s="9"/>
    </row>
    <row r="616" spans="2:17" x14ac:dyDescent="0.25">
      <c r="B616" s="1"/>
      <c r="E616" s="3"/>
      <c r="F616" s="3"/>
      <c r="G616" s="3"/>
      <c r="H616" s="3"/>
      <c r="K616" s="3"/>
      <c r="L616" s="3"/>
      <c r="O616" s="11"/>
      <c r="P616" s="3"/>
      <c r="Q616" s="9"/>
    </row>
    <row r="617" spans="2:17" x14ac:dyDescent="0.25">
      <c r="B617" s="1"/>
      <c r="E617" s="3"/>
      <c r="F617" s="3"/>
      <c r="G617" s="3"/>
      <c r="H617" s="3"/>
      <c r="K617" s="3"/>
      <c r="L617" s="3"/>
      <c r="O617" s="11"/>
      <c r="P617" s="3"/>
      <c r="Q617" s="9"/>
    </row>
    <row r="618" spans="2:17" x14ac:dyDescent="0.25">
      <c r="B618" s="1"/>
      <c r="E618" s="3"/>
      <c r="F618" s="3"/>
      <c r="G618" s="3"/>
      <c r="H618" s="3"/>
      <c r="K618" s="3"/>
      <c r="L618" s="3"/>
      <c r="O618" s="11"/>
      <c r="P618" s="3"/>
      <c r="Q618" s="9"/>
    </row>
    <row r="619" spans="2:17" x14ac:dyDescent="0.25">
      <c r="B619" s="1"/>
      <c r="E619" s="3"/>
      <c r="F619" s="3"/>
      <c r="G619" s="3"/>
      <c r="H619" s="3"/>
      <c r="K619" s="3"/>
      <c r="L619" s="3"/>
      <c r="O619" s="11"/>
      <c r="P619" s="3"/>
      <c r="Q619" s="9"/>
    </row>
    <row r="620" spans="2:17" x14ac:dyDescent="0.25">
      <c r="B620" s="1"/>
      <c r="E620" s="3"/>
      <c r="F620" s="3"/>
      <c r="G620" s="3"/>
      <c r="H620" s="3"/>
      <c r="K620" s="3"/>
      <c r="L620" s="3"/>
      <c r="O620" s="11"/>
      <c r="P620" s="3"/>
      <c r="Q620" s="9"/>
    </row>
    <row r="621" spans="2:17" x14ac:dyDescent="0.25">
      <c r="B621" s="1"/>
      <c r="E621" s="3"/>
      <c r="F621" s="3"/>
      <c r="G621" s="3"/>
      <c r="H621" s="3"/>
      <c r="K621" s="3"/>
      <c r="L621" s="3"/>
      <c r="O621" s="11"/>
      <c r="P621" s="3"/>
      <c r="Q621" s="9"/>
    </row>
    <row r="622" spans="2:17" x14ac:dyDescent="0.25">
      <c r="B622" s="1"/>
      <c r="E622" s="3"/>
      <c r="F622" s="3"/>
      <c r="G622" s="3"/>
      <c r="H622" s="3"/>
      <c r="K622" s="3"/>
      <c r="L622" s="3"/>
      <c r="O622" s="11"/>
      <c r="P622" s="3"/>
      <c r="Q622" s="9"/>
    </row>
    <row r="623" spans="2:17" x14ac:dyDescent="0.25">
      <c r="B623" s="1"/>
      <c r="E623" s="3"/>
      <c r="F623" s="3"/>
      <c r="G623" s="3"/>
      <c r="H623" s="3"/>
      <c r="K623" s="3"/>
      <c r="L623" s="3"/>
      <c r="O623" s="11"/>
      <c r="P623" s="3"/>
      <c r="Q623" s="9"/>
    </row>
    <row r="624" spans="2:17" x14ac:dyDescent="0.25">
      <c r="B624" s="1"/>
      <c r="E624" s="3"/>
      <c r="F624" s="3"/>
      <c r="G624" s="3"/>
      <c r="H624" s="3"/>
      <c r="K624" s="3"/>
      <c r="L624" s="3"/>
      <c r="O624" s="11"/>
      <c r="P624" s="3"/>
      <c r="Q624" s="9"/>
    </row>
    <row r="625" spans="2:17" x14ac:dyDescent="0.25">
      <c r="B625" s="1"/>
      <c r="E625" s="3"/>
      <c r="F625" s="3"/>
      <c r="G625" s="3"/>
      <c r="H625" s="3"/>
      <c r="K625" s="3"/>
      <c r="L625" s="3"/>
      <c r="O625" s="11"/>
      <c r="P625" s="3"/>
      <c r="Q625" s="9"/>
    </row>
    <row r="626" spans="2:17" x14ac:dyDescent="0.25">
      <c r="B626" s="1"/>
      <c r="E626" s="3"/>
      <c r="F626" s="3"/>
      <c r="G626" s="3"/>
      <c r="H626" s="3"/>
      <c r="K626" s="3"/>
      <c r="L626" s="3"/>
      <c r="O626" s="11"/>
      <c r="P626" s="3"/>
      <c r="Q626" s="9"/>
    </row>
    <row r="627" spans="2:17" x14ac:dyDescent="0.25">
      <c r="B627" s="1"/>
      <c r="E627" s="3"/>
      <c r="F627" s="3"/>
      <c r="G627" s="3"/>
      <c r="H627" s="3"/>
      <c r="K627" s="3"/>
      <c r="L627" s="3"/>
      <c r="O627" s="11"/>
      <c r="P627" s="3"/>
      <c r="Q627" s="9"/>
    </row>
    <row r="628" spans="2:17" x14ac:dyDescent="0.25">
      <c r="B628" s="1"/>
      <c r="E628" s="3"/>
      <c r="F628" s="3"/>
      <c r="G628" s="3"/>
      <c r="H628" s="3"/>
      <c r="K628" s="3"/>
      <c r="L628" s="3"/>
      <c r="O628" s="11"/>
      <c r="P628" s="3"/>
      <c r="Q628" s="9"/>
    </row>
    <row r="629" spans="2:17" x14ac:dyDescent="0.25">
      <c r="B629" s="1"/>
      <c r="E629" s="3"/>
      <c r="F629" s="3"/>
      <c r="G629" s="3"/>
      <c r="H629" s="3"/>
      <c r="K629" s="3"/>
      <c r="L629" s="3"/>
      <c r="O629" s="11"/>
      <c r="P629" s="3"/>
      <c r="Q629" s="9"/>
    </row>
    <row r="630" spans="2:17" x14ac:dyDescent="0.25">
      <c r="B630" s="1"/>
      <c r="E630" s="3"/>
      <c r="F630" s="3"/>
      <c r="G630" s="3"/>
      <c r="H630" s="3"/>
      <c r="K630" s="3"/>
      <c r="L630" s="3"/>
      <c r="O630" s="11"/>
      <c r="P630" s="3"/>
      <c r="Q630" s="9"/>
    </row>
    <row r="631" spans="2:17" x14ac:dyDescent="0.25">
      <c r="B631" s="1"/>
      <c r="E631" s="3"/>
      <c r="F631" s="3"/>
      <c r="G631" s="3"/>
      <c r="H631" s="3"/>
      <c r="K631" s="3"/>
      <c r="L631" s="3"/>
      <c r="O631" s="11"/>
      <c r="P631" s="3"/>
      <c r="Q631" s="9"/>
    </row>
    <row r="632" spans="2:17" x14ac:dyDescent="0.25">
      <c r="B632" s="1"/>
      <c r="E632" s="3"/>
      <c r="F632" s="3"/>
      <c r="G632" s="3"/>
      <c r="H632" s="3"/>
      <c r="K632" s="3"/>
      <c r="L632" s="3"/>
      <c r="O632" s="11"/>
      <c r="P632" s="3"/>
      <c r="Q632" s="9"/>
    </row>
    <row r="633" spans="2:17" x14ac:dyDescent="0.25">
      <c r="B633" s="1"/>
      <c r="E633" s="3"/>
      <c r="F633" s="3"/>
      <c r="G633" s="3"/>
      <c r="H633" s="3"/>
      <c r="K633" s="3"/>
      <c r="L633" s="3"/>
      <c r="O633" s="11"/>
      <c r="P633" s="3"/>
      <c r="Q633" s="9"/>
    </row>
    <row r="634" spans="2:17" x14ac:dyDescent="0.25">
      <c r="B634" s="1"/>
      <c r="E634" s="3"/>
      <c r="F634" s="3"/>
      <c r="G634" s="3"/>
      <c r="H634" s="3"/>
      <c r="K634" s="3"/>
      <c r="L634" s="3"/>
      <c r="O634" s="11"/>
      <c r="P634" s="3"/>
      <c r="Q634" s="9"/>
    </row>
    <row r="635" spans="2:17" x14ac:dyDescent="0.25">
      <c r="B635" s="1"/>
      <c r="E635" s="3"/>
      <c r="F635" s="3"/>
      <c r="G635" s="3"/>
      <c r="H635" s="3"/>
      <c r="K635" s="3"/>
      <c r="L635" s="3"/>
      <c r="O635" s="11"/>
      <c r="P635" s="3"/>
      <c r="Q635" s="9"/>
    </row>
    <row r="636" spans="2:17" x14ac:dyDescent="0.25">
      <c r="B636" s="1"/>
      <c r="E636" s="3"/>
      <c r="F636" s="3"/>
      <c r="G636" s="3"/>
      <c r="H636" s="3"/>
      <c r="K636" s="3"/>
      <c r="L636" s="3"/>
      <c r="O636" s="11"/>
      <c r="P636" s="3"/>
      <c r="Q636" s="9"/>
    </row>
    <row r="637" spans="2:17" x14ac:dyDescent="0.25">
      <c r="B637" s="1"/>
      <c r="E637" s="3"/>
      <c r="F637" s="3"/>
      <c r="G637" s="3"/>
      <c r="H637" s="3"/>
      <c r="K637" s="3"/>
      <c r="L637" s="3"/>
      <c r="O637" s="11"/>
      <c r="P637" s="3"/>
      <c r="Q637" s="9"/>
    </row>
    <row r="638" spans="2:17" x14ac:dyDescent="0.25">
      <c r="B638" s="1"/>
      <c r="E638" s="3"/>
      <c r="F638" s="3"/>
      <c r="G638" s="3"/>
      <c r="H638" s="3"/>
      <c r="K638" s="3"/>
      <c r="L638" s="3"/>
      <c r="O638" s="11"/>
      <c r="P638" s="3"/>
      <c r="Q638" s="9"/>
    </row>
    <row r="639" spans="2:17" x14ac:dyDescent="0.25">
      <c r="B639" s="1"/>
      <c r="E639" s="3"/>
      <c r="F639" s="3"/>
      <c r="G639" s="3"/>
      <c r="H639" s="3"/>
      <c r="K639" s="3"/>
      <c r="L639" s="3"/>
      <c r="O639" s="11"/>
      <c r="P639" s="3"/>
      <c r="Q639" s="9"/>
    </row>
    <row r="640" spans="2:17" x14ac:dyDescent="0.25">
      <c r="B640" s="1"/>
      <c r="E640" s="3"/>
      <c r="F640" s="3"/>
      <c r="G640" s="3"/>
      <c r="H640" s="3"/>
      <c r="K640" s="3"/>
      <c r="L640" s="3"/>
      <c r="O640" s="11"/>
      <c r="P640" s="3"/>
      <c r="Q640" s="9"/>
    </row>
    <row r="641" spans="2:17" x14ac:dyDescent="0.25">
      <c r="B641" s="1"/>
      <c r="E641" s="3"/>
      <c r="F641" s="3"/>
      <c r="G641" s="3"/>
      <c r="H641" s="3"/>
      <c r="K641" s="3"/>
      <c r="L641" s="3"/>
      <c r="O641" s="11"/>
      <c r="P641" s="3"/>
      <c r="Q641" s="9"/>
    </row>
    <row r="642" spans="2:17" x14ac:dyDescent="0.25">
      <c r="B642" s="1"/>
      <c r="E642" s="3"/>
      <c r="F642" s="3"/>
      <c r="G642" s="3"/>
      <c r="H642" s="3"/>
      <c r="K642" s="3"/>
      <c r="L642" s="3"/>
      <c r="O642" s="11"/>
      <c r="P642" s="3"/>
      <c r="Q642" s="9"/>
    </row>
    <row r="643" spans="2:17" x14ac:dyDescent="0.25">
      <c r="B643" s="1"/>
      <c r="E643" s="3"/>
      <c r="F643" s="3"/>
      <c r="G643" s="3"/>
      <c r="H643" s="3"/>
      <c r="K643" s="3"/>
      <c r="L643" s="3"/>
      <c r="O643" s="11"/>
      <c r="P643" s="3"/>
      <c r="Q643" s="9"/>
    </row>
    <row r="644" spans="2:17" x14ac:dyDescent="0.25">
      <c r="B644" s="1"/>
      <c r="E644" s="3"/>
      <c r="F644" s="3"/>
      <c r="G644" s="3"/>
      <c r="H644" s="3"/>
      <c r="K644" s="3"/>
      <c r="L644" s="3"/>
      <c r="O644" s="11"/>
      <c r="P644" s="3"/>
      <c r="Q644" s="9"/>
    </row>
    <row r="645" spans="2:17" x14ac:dyDescent="0.25">
      <c r="B645" s="1"/>
      <c r="E645" s="3"/>
      <c r="F645" s="3"/>
      <c r="G645" s="3"/>
      <c r="H645" s="3"/>
      <c r="K645" s="3"/>
      <c r="L645" s="3"/>
      <c r="O645" s="11"/>
      <c r="P645" s="3"/>
      <c r="Q645" s="9"/>
    </row>
    <row r="646" spans="2:17" x14ac:dyDescent="0.25">
      <c r="B646" s="1"/>
      <c r="E646" s="3"/>
      <c r="F646" s="3"/>
      <c r="G646" s="3"/>
      <c r="H646" s="3"/>
      <c r="K646" s="3"/>
      <c r="L646" s="3"/>
      <c r="O646" s="11"/>
      <c r="P646" s="3"/>
      <c r="Q646" s="9"/>
    </row>
    <row r="647" spans="2:17" x14ac:dyDescent="0.25">
      <c r="B647" s="1"/>
      <c r="E647" s="3"/>
      <c r="F647" s="3"/>
      <c r="G647" s="3"/>
      <c r="H647" s="3"/>
      <c r="K647" s="3"/>
      <c r="L647" s="3"/>
      <c r="O647" s="11"/>
      <c r="P647" s="3"/>
      <c r="Q647" s="9"/>
    </row>
    <row r="648" spans="2:17" x14ac:dyDescent="0.25">
      <c r="B648" s="1"/>
      <c r="E648" s="3"/>
      <c r="F648" s="3"/>
      <c r="G648" s="3"/>
      <c r="H648" s="3"/>
      <c r="K648" s="3"/>
      <c r="L648" s="3"/>
      <c r="O648" s="11"/>
      <c r="P648" s="3"/>
      <c r="Q648" s="9"/>
    </row>
    <row r="649" spans="2:17" x14ac:dyDescent="0.25">
      <c r="B649" s="1"/>
      <c r="E649" s="3"/>
      <c r="F649" s="3"/>
      <c r="G649" s="3"/>
      <c r="H649" s="3"/>
      <c r="K649" s="3"/>
      <c r="L649" s="3"/>
      <c r="O649" s="11"/>
      <c r="P649" s="3"/>
      <c r="Q649" s="9"/>
    </row>
    <row r="650" spans="2:17" x14ac:dyDescent="0.25">
      <c r="B650" s="1"/>
      <c r="E650" s="3"/>
      <c r="F650" s="3"/>
      <c r="G650" s="3"/>
      <c r="H650" s="3"/>
      <c r="K650" s="3"/>
      <c r="L650" s="3"/>
      <c r="O650" s="11"/>
      <c r="P650" s="3"/>
      <c r="Q650" s="9"/>
    </row>
    <row r="651" spans="2:17" x14ac:dyDescent="0.25">
      <c r="B651" s="1"/>
      <c r="E651" s="3"/>
      <c r="F651" s="3"/>
      <c r="G651" s="3"/>
      <c r="H651" s="3"/>
      <c r="K651" s="3"/>
      <c r="L651" s="3"/>
      <c r="O651" s="11"/>
      <c r="P651" s="3"/>
      <c r="Q651" s="9"/>
    </row>
    <row r="652" spans="2:17" x14ac:dyDescent="0.25">
      <c r="B652" s="1"/>
      <c r="E652" s="3"/>
      <c r="F652" s="3"/>
      <c r="G652" s="3"/>
      <c r="H652" s="3"/>
      <c r="K652" s="3"/>
      <c r="L652" s="3"/>
      <c r="O652" s="11"/>
      <c r="P652" s="3"/>
      <c r="Q652" s="9"/>
    </row>
    <row r="653" spans="2:17" x14ac:dyDescent="0.25">
      <c r="B653" s="1"/>
      <c r="E653" s="3"/>
      <c r="F653" s="3"/>
      <c r="G653" s="3"/>
      <c r="H653" s="3"/>
      <c r="K653" s="3"/>
      <c r="L653" s="3"/>
      <c r="O653" s="11"/>
      <c r="P653" s="3"/>
      <c r="Q653" s="9"/>
    </row>
    <row r="654" spans="2:17" x14ac:dyDescent="0.25">
      <c r="B654" s="1"/>
      <c r="E654" s="3"/>
      <c r="F654" s="3"/>
      <c r="G654" s="3"/>
      <c r="H654" s="3"/>
      <c r="K654" s="3"/>
      <c r="L654" s="3"/>
      <c r="O654" s="11"/>
      <c r="P654" s="3"/>
      <c r="Q654" s="9"/>
    </row>
    <row r="655" spans="2:17" x14ac:dyDescent="0.25">
      <c r="B655" s="1"/>
      <c r="E655" s="3"/>
      <c r="F655" s="3"/>
      <c r="G655" s="3"/>
      <c r="H655" s="3"/>
      <c r="K655" s="3"/>
      <c r="L655" s="3"/>
      <c r="O655" s="11"/>
      <c r="P655" s="3"/>
      <c r="Q655" s="9"/>
    </row>
    <row r="656" spans="2:17" x14ac:dyDescent="0.25">
      <c r="B656" s="1"/>
      <c r="E656" s="3"/>
      <c r="F656" s="3"/>
      <c r="G656" s="3"/>
      <c r="H656" s="3"/>
      <c r="K656" s="3"/>
      <c r="L656" s="3"/>
      <c r="O656" s="11"/>
      <c r="P656" s="3"/>
      <c r="Q656" s="9"/>
    </row>
    <row r="657" spans="2:17" x14ac:dyDescent="0.25">
      <c r="B657" s="1"/>
      <c r="E657" s="3"/>
      <c r="F657" s="3"/>
      <c r="G657" s="3"/>
      <c r="H657" s="3"/>
      <c r="K657" s="3"/>
      <c r="L657" s="3"/>
      <c r="O657" s="11"/>
      <c r="P657" s="3"/>
      <c r="Q657" s="9"/>
    </row>
    <row r="658" spans="2:17" x14ac:dyDescent="0.25">
      <c r="B658" s="1"/>
      <c r="E658" s="3"/>
      <c r="F658" s="3"/>
      <c r="G658" s="3"/>
      <c r="H658" s="3"/>
      <c r="K658" s="3"/>
      <c r="L658" s="3"/>
      <c r="O658" s="11"/>
      <c r="P658" s="3"/>
      <c r="Q658" s="9"/>
    </row>
    <row r="659" spans="2:17" x14ac:dyDescent="0.25">
      <c r="B659" s="1"/>
      <c r="E659" s="3"/>
      <c r="F659" s="3"/>
      <c r="G659" s="3"/>
      <c r="H659" s="3"/>
      <c r="K659" s="3"/>
      <c r="L659" s="3"/>
      <c r="O659" s="11"/>
      <c r="P659" s="3"/>
      <c r="Q659" s="9"/>
    </row>
    <row r="660" spans="2:17" x14ac:dyDescent="0.25">
      <c r="B660" s="1"/>
      <c r="E660" s="3"/>
      <c r="F660" s="3"/>
      <c r="G660" s="3"/>
      <c r="H660" s="3"/>
      <c r="K660" s="3"/>
      <c r="L660" s="3"/>
      <c r="O660" s="11"/>
      <c r="P660" s="3"/>
      <c r="Q660" s="9"/>
    </row>
    <row r="661" spans="2:17" x14ac:dyDescent="0.25">
      <c r="B661" s="1"/>
      <c r="E661" s="3"/>
      <c r="F661" s="3"/>
      <c r="G661" s="3"/>
      <c r="H661" s="3"/>
      <c r="K661" s="3"/>
      <c r="L661" s="3"/>
      <c r="O661" s="11"/>
      <c r="P661" s="3"/>
      <c r="Q661" s="9"/>
    </row>
    <row r="662" spans="2:17" x14ac:dyDescent="0.25">
      <c r="B662" s="1"/>
      <c r="E662" s="3"/>
      <c r="F662" s="3"/>
      <c r="G662" s="3"/>
      <c r="H662" s="3"/>
      <c r="K662" s="3"/>
      <c r="L662" s="3"/>
      <c r="O662" s="11"/>
      <c r="P662" s="3"/>
      <c r="Q662" s="9"/>
    </row>
    <row r="663" spans="2:17" x14ac:dyDescent="0.25">
      <c r="B663" s="1"/>
      <c r="E663" s="3"/>
      <c r="F663" s="3"/>
      <c r="G663" s="3"/>
      <c r="H663" s="3"/>
      <c r="K663" s="3"/>
      <c r="L663" s="3"/>
      <c r="O663" s="11"/>
      <c r="P663" s="3"/>
      <c r="Q663" s="9"/>
    </row>
    <row r="664" spans="2:17" x14ac:dyDescent="0.25">
      <c r="B664" s="1"/>
      <c r="E664" s="3"/>
      <c r="F664" s="3"/>
      <c r="G664" s="3"/>
      <c r="H664" s="3"/>
      <c r="K664" s="3"/>
      <c r="L664" s="3"/>
      <c r="O664" s="11"/>
      <c r="P664" s="3"/>
      <c r="Q664" s="9"/>
    </row>
    <row r="665" spans="2:17" x14ac:dyDescent="0.25">
      <c r="B665" s="1"/>
      <c r="E665" s="3"/>
      <c r="F665" s="3"/>
      <c r="G665" s="3"/>
      <c r="H665" s="3"/>
      <c r="K665" s="3"/>
      <c r="L665" s="3"/>
      <c r="O665" s="11"/>
      <c r="P665" s="3"/>
      <c r="Q665" s="9"/>
    </row>
    <row r="666" spans="2:17" x14ac:dyDescent="0.25">
      <c r="B666" s="1"/>
      <c r="E666" s="3"/>
      <c r="F666" s="3"/>
      <c r="G666" s="3"/>
      <c r="H666" s="3"/>
      <c r="K666" s="3"/>
      <c r="L666" s="3"/>
      <c r="O666" s="11"/>
      <c r="P666" s="3"/>
      <c r="Q666" s="9"/>
    </row>
    <row r="667" spans="2:17" x14ac:dyDescent="0.25">
      <c r="B667" s="1"/>
      <c r="E667" s="3"/>
      <c r="F667" s="3"/>
      <c r="G667" s="3"/>
      <c r="H667" s="3"/>
      <c r="K667" s="3"/>
      <c r="L667" s="3"/>
      <c r="O667" s="11"/>
      <c r="P667" s="3"/>
      <c r="Q667" s="9"/>
    </row>
    <row r="668" spans="2:17" x14ac:dyDescent="0.25">
      <c r="B668" s="1"/>
      <c r="E668" s="3"/>
      <c r="F668" s="3"/>
      <c r="G668" s="3"/>
      <c r="H668" s="3"/>
      <c r="K668" s="3"/>
      <c r="L668" s="3"/>
      <c r="O668" s="11"/>
      <c r="P668" s="3"/>
      <c r="Q668" s="9"/>
    </row>
    <row r="669" spans="2:17" x14ac:dyDescent="0.25">
      <c r="B669" s="1"/>
      <c r="E669" s="3"/>
      <c r="F669" s="3"/>
      <c r="G669" s="3"/>
      <c r="H669" s="3"/>
      <c r="K669" s="3"/>
      <c r="L669" s="3"/>
      <c r="O669" s="11"/>
      <c r="P669" s="3"/>
      <c r="Q669" s="9"/>
    </row>
    <row r="670" spans="2:17" x14ac:dyDescent="0.25">
      <c r="B670" s="1"/>
      <c r="E670" s="3"/>
      <c r="F670" s="3"/>
      <c r="G670" s="3"/>
      <c r="H670" s="3"/>
      <c r="K670" s="3"/>
      <c r="L670" s="3"/>
      <c r="O670" s="11"/>
      <c r="P670" s="3"/>
      <c r="Q670" s="9"/>
    </row>
    <row r="671" spans="2:17" x14ac:dyDescent="0.25">
      <c r="B671" s="1"/>
      <c r="E671" s="3"/>
      <c r="F671" s="3"/>
      <c r="G671" s="3"/>
      <c r="H671" s="3"/>
      <c r="K671" s="3"/>
      <c r="L671" s="3"/>
      <c r="O671" s="11"/>
      <c r="P671" s="3"/>
      <c r="Q671" s="9"/>
    </row>
    <row r="672" spans="2:17" x14ac:dyDescent="0.25">
      <c r="B672" s="1"/>
      <c r="E672" s="3"/>
      <c r="F672" s="3"/>
      <c r="G672" s="3"/>
      <c r="H672" s="3"/>
      <c r="K672" s="3"/>
      <c r="L672" s="3"/>
      <c r="O672" s="11"/>
      <c r="P672" s="3"/>
      <c r="Q672" s="9"/>
    </row>
    <row r="673" spans="2:17" x14ac:dyDescent="0.25">
      <c r="B673" s="1"/>
      <c r="E673" s="3"/>
      <c r="F673" s="3"/>
      <c r="G673" s="3"/>
      <c r="H673" s="3"/>
      <c r="K673" s="3"/>
      <c r="L673" s="3"/>
      <c r="O673" s="11"/>
      <c r="P673" s="3"/>
      <c r="Q673" s="9"/>
    </row>
    <row r="674" spans="2:17" x14ac:dyDescent="0.25">
      <c r="B674" s="1"/>
      <c r="E674" s="3"/>
      <c r="F674" s="3"/>
      <c r="G674" s="3"/>
      <c r="H674" s="3"/>
      <c r="K674" s="3"/>
      <c r="L674" s="3"/>
      <c r="O674" s="11"/>
      <c r="P674" s="3"/>
      <c r="Q674" s="9"/>
    </row>
    <row r="675" spans="2:17" x14ac:dyDescent="0.25">
      <c r="B675" s="1"/>
      <c r="E675" s="3"/>
      <c r="F675" s="3"/>
      <c r="G675" s="3"/>
      <c r="H675" s="3"/>
      <c r="K675" s="3"/>
      <c r="L675" s="3"/>
      <c r="O675" s="11"/>
      <c r="P675" s="3"/>
      <c r="Q675" s="9"/>
    </row>
    <row r="676" spans="2:17" x14ac:dyDescent="0.25">
      <c r="B676" s="1"/>
      <c r="E676" s="3"/>
      <c r="F676" s="3"/>
      <c r="G676" s="3"/>
      <c r="H676" s="3"/>
      <c r="K676" s="3"/>
      <c r="L676" s="3"/>
      <c r="O676" s="11"/>
      <c r="P676" s="3"/>
      <c r="Q676" s="9"/>
    </row>
    <row r="677" spans="2:17" x14ac:dyDescent="0.25">
      <c r="B677" s="1"/>
      <c r="E677" s="3"/>
      <c r="F677" s="3"/>
      <c r="G677" s="3"/>
      <c r="H677" s="3"/>
      <c r="K677" s="3"/>
      <c r="L677" s="3"/>
      <c r="O677" s="11"/>
      <c r="P677" s="3"/>
      <c r="Q677" s="9"/>
    </row>
    <row r="678" spans="2:17" x14ac:dyDescent="0.25">
      <c r="B678" s="1"/>
      <c r="E678" s="3"/>
      <c r="F678" s="3"/>
      <c r="G678" s="3"/>
      <c r="H678" s="3"/>
      <c r="K678" s="3"/>
      <c r="L678" s="3"/>
      <c r="O678" s="11"/>
      <c r="P678" s="3"/>
      <c r="Q678" s="9"/>
    </row>
    <row r="679" spans="2:17" x14ac:dyDescent="0.25">
      <c r="B679" s="1"/>
      <c r="E679" s="3"/>
      <c r="F679" s="3"/>
      <c r="G679" s="3"/>
      <c r="H679" s="3"/>
      <c r="K679" s="3"/>
      <c r="L679" s="3"/>
      <c r="O679" s="11"/>
      <c r="P679" s="3"/>
      <c r="Q679" s="9"/>
    </row>
    <row r="680" spans="2:17" x14ac:dyDescent="0.25">
      <c r="B680" s="1"/>
      <c r="E680" s="3"/>
      <c r="F680" s="3"/>
      <c r="G680" s="3"/>
      <c r="H680" s="3"/>
      <c r="K680" s="3"/>
      <c r="L680" s="3"/>
      <c r="O680" s="11"/>
      <c r="P680" s="3"/>
      <c r="Q680" s="9"/>
    </row>
    <row r="681" spans="2:17" x14ac:dyDescent="0.25">
      <c r="B681" s="1"/>
      <c r="E681" s="3"/>
      <c r="F681" s="3"/>
      <c r="G681" s="3"/>
      <c r="H681" s="3"/>
      <c r="K681" s="3"/>
      <c r="L681" s="3"/>
      <c r="O681" s="11"/>
      <c r="P681" s="3"/>
      <c r="Q681" s="9"/>
    </row>
    <row r="682" spans="2:17" x14ac:dyDescent="0.25">
      <c r="B682" s="1"/>
      <c r="E682" s="3"/>
      <c r="F682" s="3"/>
      <c r="G682" s="3"/>
      <c r="H682" s="3"/>
      <c r="K682" s="3"/>
      <c r="L682" s="3"/>
      <c r="O682" s="11"/>
      <c r="P682" s="3"/>
      <c r="Q682" s="9"/>
    </row>
    <row r="683" spans="2:17" x14ac:dyDescent="0.25">
      <c r="B683" s="1"/>
      <c r="E683" s="3"/>
      <c r="F683" s="3"/>
      <c r="G683" s="3"/>
      <c r="H683" s="3"/>
      <c r="K683" s="3"/>
      <c r="L683" s="3"/>
      <c r="O683" s="11"/>
      <c r="P683" s="3"/>
      <c r="Q683" s="9"/>
    </row>
    <row r="684" spans="2:17" x14ac:dyDescent="0.25">
      <c r="B684" s="1"/>
      <c r="E684" s="3"/>
      <c r="F684" s="3"/>
      <c r="G684" s="3"/>
      <c r="H684" s="3"/>
      <c r="K684" s="3"/>
      <c r="L684" s="3"/>
      <c r="O684" s="11"/>
      <c r="P684" s="3"/>
      <c r="Q684" s="9"/>
    </row>
    <row r="685" spans="2:17" x14ac:dyDescent="0.25">
      <c r="B685" s="1"/>
      <c r="E685" s="3"/>
      <c r="F685" s="3"/>
      <c r="G685" s="3"/>
      <c r="H685" s="3"/>
      <c r="K685" s="3"/>
      <c r="L685" s="3"/>
      <c r="O685" s="11"/>
      <c r="P685" s="3"/>
      <c r="Q685" s="9"/>
    </row>
    <row r="686" spans="2:17" x14ac:dyDescent="0.25">
      <c r="B686" s="1"/>
      <c r="E686" s="3"/>
      <c r="F686" s="3"/>
      <c r="G686" s="3"/>
      <c r="H686" s="3"/>
      <c r="K686" s="3"/>
      <c r="L686" s="3"/>
      <c r="O686" s="11"/>
      <c r="P686" s="3"/>
      <c r="Q686" s="9"/>
    </row>
    <row r="687" spans="2:17" x14ac:dyDescent="0.25">
      <c r="B687" s="1"/>
      <c r="E687" s="3"/>
      <c r="F687" s="3"/>
      <c r="G687" s="3"/>
      <c r="H687" s="3"/>
      <c r="K687" s="3"/>
      <c r="L687" s="3"/>
      <c r="O687" s="11"/>
      <c r="P687" s="3"/>
      <c r="Q687" s="9"/>
    </row>
    <row r="688" spans="2:17" x14ac:dyDescent="0.25">
      <c r="B688" s="1"/>
      <c r="E688" s="3"/>
      <c r="F688" s="3"/>
      <c r="G688" s="3"/>
      <c r="H688" s="3"/>
      <c r="K688" s="3"/>
      <c r="L688" s="3"/>
      <c r="O688" s="11"/>
      <c r="P688" s="3"/>
      <c r="Q688" s="9"/>
    </row>
    <row r="689" spans="2:17" x14ac:dyDescent="0.25">
      <c r="B689" s="1"/>
      <c r="E689" s="3"/>
      <c r="F689" s="3"/>
      <c r="G689" s="3"/>
      <c r="H689" s="3"/>
      <c r="K689" s="3"/>
      <c r="L689" s="3"/>
      <c r="O689" s="11"/>
      <c r="P689" s="3"/>
      <c r="Q689" s="9"/>
    </row>
    <row r="690" spans="2:17" x14ac:dyDescent="0.25">
      <c r="B690" s="1"/>
      <c r="E690" s="3"/>
      <c r="F690" s="3"/>
      <c r="G690" s="3"/>
      <c r="H690" s="3"/>
      <c r="K690" s="3"/>
      <c r="L690" s="3"/>
      <c r="O690" s="11"/>
      <c r="P690" s="3"/>
      <c r="Q690" s="9"/>
    </row>
    <row r="691" spans="2:17" x14ac:dyDescent="0.25">
      <c r="B691" s="1"/>
      <c r="E691" s="3"/>
      <c r="F691" s="3"/>
      <c r="G691" s="3"/>
      <c r="H691" s="3"/>
      <c r="K691" s="3"/>
      <c r="L691" s="3"/>
      <c r="O691" s="11"/>
      <c r="P691" s="3"/>
      <c r="Q691" s="9"/>
    </row>
    <row r="692" spans="2:17" x14ac:dyDescent="0.25">
      <c r="B692" s="1"/>
      <c r="E692" s="3"/>
      <c r="F692" s="3"/>
      <c r="G692" s="3"/>
      <c r="H692" s="3"/>
      <c r="K692" s="3"/>
      <c r="L692" s="3"/>
      <c r="O692" s="11"/>
      <c r="P692" s="3"/>
      <c r="Q692" s="9"/>
    </row>
    <row r="693" spans="2:17" x14ac:dyDescent="0.25">
      <c r="B693" s="1"/>
      <c r="E693" s="3"/>
      <c r="F693" s="3"/>
      <c r="G693" s="3"/>
      <c r="H693" s="3"/>
      <c r="K693" s="3"/>
      <c r="L693" s="3"/>
      <c r="O693" s="11"/>
      <c r="P693" s="3"/>
      <c r="Q693" s="9"/>
    </row>
    <row r="694" spans="2:17" x14ac:dyDescent="0.25">
      <c r="B694" s="1"/>
      <c r="E694" s="3"/>
      <c r="F694" s="3"/>
      <c r="G694" s="3"/>
      <c r="H694" s="3"/>
      <c r="K694" s="3"/>
      <c r="L694" s="3"/>
      <c r="O694" s="11"/>
      <c r="P694" s="3"/>
      <c r="Q694" s="9"/>
    </row>
    <row r="695" spans="2:17" x14ac:dyDescent="0.25">
      <c r="B695" s="1"/>
      <c r="E695" s="3"/>
      <c r="F695" s="3"/>
      <c r="G695" s="3"/>
      <c r="H695" s="3"/>
      <c r="K695" s="3"/>
      <c r="L695" s="3"/>
      <c r="O695" s="11"/>
      <c r="P695" s="3"/>
      <c r="Q695" s="9"/>
    </row>
    <row r="696" spans="2:17" x14ac:dyDescent="0.25">
      <c r="B696" s="1"/>
      <c r="E696" s="3"/>
      <c r="F696" s="3"/>
      <c r="G696" s="3"/>
      <c r="H696" s="3"/>
      <c r="K696" s="3"/>
      <c r="L696" s="3"/>
      <c r="O696" s="11"/>
      <c r="P696" s="3"/>
      <c r="Q696" s="9"/>
    </row>
    <row r="697" spans="2:17" x14ac:dyDescent="0.25">
      <c r="B697" s="1"/>
      <c r="E697" s="3"/>
      <c r="F697" s="3"/>
      <c r="G697" s="3"/>
      <c r="H697" s="3"/>
      <c r="K697" s="3"/>
      <c r="L697" s="3"/>
      <c r="O697" s="11"/>
      <c r="P697" s="3"/>
      <c r="Q697" s="9"/>
    </row>
    <row r="698" spans="2:17" x14ac:dyDescent="0.25">
      <c r="B698" s="1"/>
      <c r="E698" s="3"/>
      <c r="F698" s="3"/>
      <c r="G698" s="3"/>
      <c r="H698" s="3"/>
      <c r="K698" s="3"/>
      <c r="L698" s="3"/>
      <c r="O698" s="11"/>
      <c r="P698" s="3"/>
      <c r="Q698" s="9"/>
    </row>
    <row r="699" spans="2:17" x14ac:dyDescent="0.25">
      <c r="B699" s="1"/>
      <c r="E699" s="3"/>
      <c r="F699" s="3"/>
      <c r="G699" s="3"/>
      <c r="H699" s="3"/>
      <c r="K699" s="3"/>
      <c r="L699" s="3"/>
      <c r="O699" s="11"/>
      <c r="P699" s="3"/>
      <c r="Q699" s="9"/>
    </row>
    <row r="700" spans="2:17" x14ac:dyDescent="0.25">
      <c r="B700" s="1"/>
      <c r="E700" s="3"/>
      <c r="F700" s="3"/>
      <c r="G700" s="3"/>
      <c r="H700" s="3"/>
      <c r="K700" s="3"/>
      <c r="L700" s="3"/>
      <c r="O700" s="11"/>
      <c r="P700" s="3"/>
      <c r="Q700" s="9"/>
    </row>
    <row r="701" spans="2:17" x14ac:dyDescent="0.25">
      <c r="B701" s="1"/>
      <c r="E701" s="3"/>
      <c r="F701" s="3"/>
      <c r="G701" s="3"/>
      <c r="H701" s="3"/>
      <c r="K701" s="3"/>
      <c r="L701" s="3"/>
      <c r="O701" s="11"/>
      <c r="P701" s="3"/>
      <c r="Q701" s="9"/>
    </row>
    <row r="702" spans="2:17" x14ac:dyDescent="0.25">
      <c r="B702" s="1"/>
      <c r="E702" s="3"/>
      <c r="F702" s="3"/>
      <c r="G702" s="3"/>
      <c r="H702" s="3"/>
      <c r="K702" s="3"/>
      <c r="L702" s="3"/>
      <c r="O702" s="11"/>
      <c r="P702" s="3"/>
      <c r="Q702" s="9"/>
    </row>
    <row r="703" spans="2:17" x14ac:dyDescent="0.25">
      <c r="B703" s="1"/>
      <c r="E703" s="3"/>
      <c r="F703" s="3"/>
      <c r="G703" s="3"/>
      <c r="H703" s="3"/>
      <c r="K703" s="3"/>
      <c r="L703" s="3"/>
      <c r="O703" s="11"/>
      <c r="P703" s="3"/>
      <c r="Q703" s="9"/>
    </row>
    <row r="704" spans="2:17" x14ac:dyDescent="0.25">
      <c r="B704" s="1"/>
      <c r="E704" s="3"/>
      <c r="F704" s="3"/>
      <c r="G704" s="3"/>
      <c r="H704" s="3"/>
      <c r="K704" s="3"/>
      <c r="L704" s="3"/>
      <c r="O704" s="11"/>
      <c r="P704" s="3"/>
      <c r="Q704" s="9"/>
    </row>
    <row r="705" spans="2:17" x14ac:dyDescent="0.25">
      <c r="B705" s="1"/>
      <c r="E705" s="3"/>
      <c r="F705" s="3"/>
      <c r="G705" s="3"/>
      <c r="H705" s="3"/>
      <c r="K705" s="3"/>
      <c r="L705" s="3"/>
      <c r="O705" s="11"/>
      <c r="P705" s="3"/>
      <c r="Q705" s="9"/>
    </row>
    <row r="706" spans="2:17" x14ac:dyDescent="0.25">
      <c r="B706" s="1"/>
      <c r="E706" s="3"/>
      <c r="F706" s="3"/>
      <c r="G706" s="3"/>
      <c r="H706" s="3"/>
      <c r="K706" s="3"/>
      <c r="L706" s="3"/>
      <c r="O706" s="11"/>
      <c r="P706" s="3"/>
      <c r="Q706" s="9"/>
    </row>
    <row r="707" spans="2:17" x14ac:dyDescent="0.25">
      <c r="B707" s="1"/>
      <c r="E707" s="3"/>
      <c r="F707" s="3"/>
      <c r="G707" s="3"/>
      <c r="H707" s="3"/>
      <c r="K707" s="3"/>
      <c r="L707" s="3"/>
      <c r="O707" s="11"/>
      <c r="P707" s="3"/>
      <c r="Q707" s="9"/>
    </row>
    <row r="708" spans="2:17" x14ac:dyDescent="0.25">
      <c r="B708" s="1"/>
      <c r="E708" s="3"/>
      <c r="F708" s="3"/>
      <c r="G708" s="3"/>
      <c r="H708" s="3"/>
      <c r="K708" s="3"/>
      <c r="L708" s="3"/>
      <c r="O708" s="11"/>
      <c r="P708" s="3"/>
      <c r="Q708" s="9"/>
    </row>
    <row r="709" spans="2:17" x14ac:dyDescent="0.25">
      <c r="B709" s="1"/>
      <c r="E709" s="3"/>
      <c r="F709" s="3"/>
      <c r="G709" s="3"/>
      <c r="H709" s="3"/>
      <c r="K709" s="3"/>
      <c r="L709" s="3"/>
      <c r="O709" s="11"/>
      <c r="P709" s="3"/>
      <c r="Q709" s="9"/>
    </row>
    <row r="710" spans="2:17" x14ac:dyDescent="0.25">
      <c r="B710" s="1"/>
      <c r="E710" s="3"/>
      <c r="F710" s="3"/>
      <c r="G710" s="3"/>
      <c r="H710" s="3"/>
      <c r="K710" s="3"/>
      <c r="L710" s="3"/>
      <c r="O710" s="11"/>
      <c r="P710" s="3"/>
      <c r="Q710" s="9"/>
    </row>
    <row r="711" spans="2:17" x14ac:dyDescent="0.25">
      <c r="B711" s="1"/>
      <c r="E711" s="3"/>
      <c r="F711" s="3"/>
      <c r="G711" s="3"/>
      <c r="H711" s="3"/>
      <c r="K711" s="3"/>
      <c r="L711" s="3"/>
      <c r="O711" s="11"/>
      <c r="P711" s="3"/>
      <c r="Q711" s="9"/>
    </row>
    <row r="712" spans="2:17" x14ac:dyDescent="0.25">
      <c r="B712" s="1"/>
      <c r="E712" s="3"/>
      <c r="F712" s="3"/>
      <c r="G712" s="3"/>
      <c r="H712" s="3"/>
      <c r="K712" s="3"/>
      <c r="L712" s="3"/>
      <c r="O712" s="11"/>
      <c r="P712" s="3"/>
      <c r="Q712" s="9"/>
    </row>
    <row r="713" spans="2:17" x14ac:dyDescent="0.25">
      <c r="B713" s="1"/>
      <c r="E713" s="3"/>
      <c r="F713" s="3"/>
      <c r="G713" s="3"/>
      <c r="H713" s="3"/>
      <c r="K713" s="3"/>
      <c r="L713" s="3"/>
      <c r="O713" s="11"/>
      <c r="P713" s="3"/>
      <c r="Q713" s="9"/>
    </row>
    <row r="714" spans="2:17" x14ac:dyDescent="0.25">
      <c r="B714" s="1"/>
      <c r="E714" s="3"/>
      <c r="F714" s="3"/>
      <c r="G714" s="3"/>
      <c r="H714" s="3"/>
      <c r="K714" s="3"/>
      <c r="L714" s="3"/>
      <c r="O714" s="11"/>
      <c r="P714" s="3"/>
      <c r="Q714" s="9"/>
    </row>
    <row r="715" spans="2:17" x14ac:dyDescent="0.25">
      <c r="B715" s="1"/>
      <c r="E715" s="3"/>
      <c r="F715" s="3"/>
      <c r="G715" s="3"/>
      <c r="H715" s="3"/>
      <c r="K715" s="3"/>
      <c r="L715" s="3"/>
      <c r="O715" s="11"/>
      <c r="P715" s="3"/>
      <c r="Q715" s="9"/>
    </row>
    <row r="716" spans="2:17" x14ac:dyDescent="0.25">
      <c r="B716" s="1"/>
      <c r="E716" s="3"/>
      <c r="F716" s="3"/>
      <c r="G716" s="3"/>
      <c r="H716" s="3"/>
      <c r="K716" s="3"/>
      <c r="L716" s="3"/>
      <c r="O716" s="11"/>
      <c r="P716" s="3"/>
      <c r="Q716" s="9"/>
    </row>
    <row r="717" spans="2:17" x14ac:dyDescent="0.25">
      <c r="B717" s="1"/>
      <c r="E717" s="3"/>
      <c r="F717" s="3"/>
      <c r="G717" s="3"/>
      <c r="H717" s="3"/>
      <c r="K717" s="3"/>
      <c r="L717" s="3"/>
      <c r="O717" s="11"/>
      <c r="P717" s="3"/>
      <c r="Q717" s="9"/>
    </row>
    <row r="718" spans="2:17" x14ac:dyDescent="0.25">
      <c r="B718" s="1"/>
      <c r="E718" s="3"/>
      <c r="F718" s="3"/>
      <c r="G718" s="3"/>
      <c r="H718" s="3"/>
      <c r="K718" s="3"/>
      <c r="L718" s="3"/>
      <c r="O718" s="11"/>
      <c r="P718" s="3"/>
      <c r="Q718" s="9"/>
    </row>
    <row r="719" spans="2:17" x14ac:dyDescent="0.25">
      <c r="B719" s="1"/>
      <c r="E719" s="3"/>
      <c r="F719" s="3"/>
      <c r="G719" s="3"/>
      <c r="H719" s="3"/>
      <c r="K719" s="3"/>
      <c r="L719" s="3"/>
      <c r="O719" s="11"/>
      <c r="P719" s="3"/>
      <c r="Q719" s="9"/>
    </row>
    <row r="720" spans="2:17" x14ac:dyDescent="0.25">
      <c r="B720" s="1"/>
      <c r="E720" s="3"/>
      <c r="F720" s="3"/>
      <c r="G720" s="3"/>
      <c r="H720" s="3"/>
      <c r="K720" s="3"/>
      <c r="L720" s="3"/>
      <c r="O720" s="11"/>
      <c r="P720" s="3"/>
      <c r="Q720" s="9"/>
    </row>
    <row r="721" spans="2:17" x14ac:dyDescent="0.25">
      <c r="B721" s="1"/>
      <c r="E721" s="3"/>
      <c r="F721" s="3"/>
      <c r="G721" s="3"/>
      <c r="H721" s="3"/>
      <c r="K721" s="3"/>
      <c r="L721" s="3"/>
      <c r="O721" s="11"/>
      <c r="P721" s="3"/>
      <c r="Q721" s="9"/>
    </row>
    <row r="722" spans="2:17" x14ac:dyDescent="0.25">
      <c r="B722" s="1"/>
      <c r="E722" s="3"/>
      <c r="F722" s="3"/>
      <c r="G722" s="3"/>
      <c r="H722" s="3"/>
      <c r="K722" s="3"/>
      <c r="L722" s="3"/>
      <c r="O722" s="11"/>
      <c r="P722" s="3"/>
      <c r="Q722" s="9"/>
    </row>
    <row r="723" spans="2:17" x14ac:dyDescent="0.25">
      <c r="B723" s="1"/>
      <c r="E723" s="3"/>
      <c r="F723" s="3"/>
      <c r="G723" s="3"/>
      <c r="H723" s="3"/>
      <c r="K723" s="3"/>
      <c r="L723" s="3"/>
      <c r="O723" s="11"/>
      <c r="P723" s="3"/>
      <c r="Q723" s="9"/>
    </row>
    <row r="724" spans="2:17" x14ac:dyDescent="0.25">
      <c r="B724" s="1"/>
      <c r="E724" s="3"/>
      <c r="F724" s="3"/>
      <c r="G724" s="3"/>
      <c r="H724" s="3"/>
      <c r="K724" s="3"/>
      <c r="L724" s="3"/>
      <c r="O724" s="11"/>
      <c r="P724" s="3"/>
      <c r="Q724" s="9"/>
    </row>
    <row r="725" spans="2:17" x14ac:dyDescent="0.25">
      <c r="B725" s="1"/>
      <c r="E725" s="3"/>
      <c r="F725" s="3"/>
      <c r="G725" s="3"/>
      <c r="H725" s="3"/>
      <c r="K725" s="3"/>
      <c r="L725" s="3"/>
      <c r="O725" s="11"/>
      <c r="P725" s="3"/>
      <c r="Q725" s="9"/>
    </row>
    <row r="726" spans="2:17" x14ac:dyDescent="0.25">
      <c r="B726" s="1"/>
      <c r="E726" s="3"/>
      <c r="F726" s="3"/>
      <c r="G726" s="3"/>
      <c r="H726" s="3"/>
      <c r="K726" s="3"/>
      <c r="L726" s="3"/>
      <c r="O726" s="11"/>
      <c r="P726" s="3"/>
      <c r="Q726" s="9"/>
    </row>
    <row r="727" spans="2:17" x14ac:dyDescent="0.25">
      <c r="B727" s="1"/>
      <c r="E727" s="3"/>
      <c r="F727" s="3"/>
      <c r="G727" s="3"/>
      <c r="H727" s="3"/>
      <c r="K727" s="3"/>
      <c r="L727" s="3"/>
      <c r="O727" s="11"/>
      <c r="P727" s="3"/>
      <c r="Q727" s="9"/>
    </row>
    <row r="728" spans="2:17" x14ac:dyDescent="0.25">
      <c r="B728" s="1"/>
      <c r="E728" s="3"/>
      <c r="F728" s="3"/>
      <c r="G728" s="3"/>
      <c r="H728" s="3"/>
      <c r="K728" s="3"/>
      <c r="L728" s="3"/>
      <c r="O728" s="11"/>
      <c r="P728" s="3"/>
      <c r="Q728" s="9"/>
    </row>
    <row r="729" spans="2:17" x14ac:dyDescent="0.25">
      <c r="B729" s="1"/>
      <c r="E729" s="3"/>
      <c r="F729" s="3"/>
      <c r="G729" s="3"/>
      <c r="H729" s="3"/>
      <c r="K729" s="3"/>
      <c r="L729" s="3"/>
      <c r="O729" s="11"/>
      <c r="P729" s="3"/>
      <c r="Q729" s="9"/>
    </row>
    <row r="730" spans="2:17" x14ac:dyDescent="0.25">
      <c r="B730" s="1"/>
      <c r="E730" s="3"/>
      <c r="F730" s="3"/>
      <c r="G730" s="3"/>
      <c r="H730" s="3"/>
      <c r="K730" s="3"/>
      <c r="L730" s="3"/>
      <c r="O730" s="11"/>
      <c r="P730" s="3"/>
      <c r="Q730" s="9"/>
    </row>
    <row r="731" spans="2:17" x14ac:dyDescent="0.25">
      <c r="B731" s="1"/>
      <c r="E731" s="3"/>
      <c r="F731" s="3"/>
      <c r="G731" s="3"/>
      <c r="H731" s="3"/>
      <c r="K731" s="3"/>
      <c r="L731" s="3"/>
      <c r="O731" s="11"/>
      <c r="P731" s="3"/>
      <c r="Q731" s="9"/>
    </row>
    <row r="732" spans="2:17" x14ac:dyDescent="0.25">
      <c r="B732" s="1"/>
      <c r="E732" s="3"/>
      <c r="F732" s="3"/>
      <c r="G732" s="3"/>
      <c r="H732" s="3"/>
      <c r="K732" s="3"/>
      <c r="L732" s="3"/>
      <c r="O732" s="11"/>
      <c r="P732" s="3"/>
      <c r="Q732" s="9"/>
    </row>
    <row r="733" spans="2:17" x14ac:dyDescent="0.25">
      <c r="B733" s="1"/>
      <c r="E733" s="3"/>
      <c r="F733" s="3"/>
      <c r="G733" s="3"/>
      <c r="H733" s="3"/>
      <c r="K733" s="3"/>
      <c r="L733" s="3"/>
      <c r="O733" s="11"/>
      <c r="P733" s="3"/>
      <c r="Q733" s="9"/>
    </row>
    <row r="734" spans="2:17" x14ac:dyDescent="0.25">
      <c r="B734" s="1"/>
      <c r="E734" s="3"/>
      <c r="F734" s="3"/>
      <c r="G734" s="3"/>
      <c r="H734" s="3"/>
      <c r="K734" s="3"/>
      <c r="L734" s="3"/>
      <c r="O734" s="11"/>
      <c r="P734" s="3"/>
      <c r="Q734" s="9"/>
    </row>
    <row r="735" spans="2:17" x14ac:dyDescent="0.25">
      <c r="B735" s="1"/>
      <c r="E735" s="3"/>
      <c r="F735" s="3"/>
      <c r="G735" s="3"/>
      <c r="H735" s="3"/>
      <c r="K735" s="3"/>
      <c r="L735" s="3"/>
      <c r="O735" s="11"/>
      <c r="P735" s="3"/>
      <c r="Q735" s="9"/>
    </row>
    <row r="736" spans="2:17" x14ac:dyDescent="0.25">
      <c r="B736" s="1"/>
      <c r="E736" s="3"/>
      <c r="F736" s="3"/>
      <c r="G736" s="3"/>
      <c r="H736" s="3"/>
      <c r="K736" s="3"/>
      <c r="L736" s="3"/>
      <c r="O736" s="11"/>
      <c r="P736" s="3"/>
      <c r="Q736" s="9"/>
    </row>
    <row r="737" spans="2:17" x14ac:dyDescent="0.25">
      <c r="B737" s="1"/>
      <c r="E737" s="3"/>
      <c r="F737" s="3"/>
      <c r="G737" s="3"/>
      <c r="H737" s="3"/>
      <c r="K737" s="3"/>
      <c r="L737" s="3"/>
      <c r="O737" s="11"/>
      <c r="P737" s="3"/>
      <c r="Q737" s="9"/>
    </row>
    <row r="738" spans="2:17" x14ac:dyDescent="0.25">
      <c r="B738" s="1"/>
      <c r="E738" s="3"/>
      <c r="F738" s="3"/>
      <c r="G738" s="3"/>
      <c r="H738" s="3"/>
      <c r="K738" s="3"/>
      <c r="L738" s="3"/>
      <c r="O738" s="11"/>
      <c r="P738" s="3"/>
      <c r="Q738" s="9"/>
    </row>
    <row r="739" spans="2:17" x14ac:dyDescent="0.25">
      <c r="B739" s="1"/>
      <c r="E739" s="3"/>
      <c r="F739" s="3"/>
      <c r="G739" s="3"/>
      <c r="H739" s="3"/>
      <c r="K739" s="3"/>
      <c r="L739" s="3"/>
      <c r="O739" s="11"/>
      <c r="P739" s="3"/>
      <c r="Q739" s="9"/>
    </row>
    <row r="740" spans="2:17" x14ac:dyDescent="0.25">
      <c r="B740" s="1"/>
      <c r="E740" s="3"/>
      <c r="F740" s="3"/>
      <c r="G740" s="3"/>
      <c r="H740" s="3"/>
      <c r="K740" s="3"/>
      <c r="L740" s="3"/>
      <c r="O740" s="11"/>
      <c r="P740" s="3"/>
      <c r="Q740" s="9"/>
    </row>
    <row r="741" spans="2:17" x14ac:dyDescent="0.25">
      <c r="B741" s="1"/>
      <c r="E741" s="3"/>
      <c r="F741" s="3"/>
      <c r="G741" s="3"/>
      <c r="H741" s="3"/>
      <c r="K741" s="3"/>
      <c r="L741" s="3"/>
      <c r="O741" s="11"/>
      <c r="P741" s="3"/>
      <c r="Q741" s="9"/>
    </row>
    <row r="742" spans="2:17" x14ac:dyDescent="0.25">
      <c r="B742" s="1"/>
      <c r="E742" s="3"/>
      <c r="F742" s="3"/>
      <c r="G742" s="3"/>
      <c r="H742" s="3"/>
      <c r="K742" s="3"/>
      <c r="L742" s="3"/>
      <c r="O742" s="11"/>
      <c r="P742" s="3"/>
      <c r="Q742" s="9"/>
    </row>
    <row r="743" spans="2:17" x14ac:dyDescent="0.25">
      <c r="B743" s="1"/>
      <c r="E743" s="3"/>
      <c r="F743" s="3"/>
      <c r="G743" s="3"/>
      <c r="H743" s="3"/>
      <c r="K743" s="3"/>
      <c r="L743" s="3"/>
      <c r="O743" s="11"/>
      <c r="P743" s="3"/>
      <c r="Q743" s="9"/>
    </row>
    <row r="744" spans="2:17" x14ac:dyDescent="0.25">
      <c r="B744" s="1"/>
      <c r="E744" s="3"/>
      <c r="F744" s="3"/>
      <c r="G744" s="3"/>
      <c r="H744" s="3"/>
      <c r="K744" s="3"/>
      <c r="L744" s="3"/>
      <c r="O744" s="11"/>
      <c r="P744" s="3"/>
      <c r="Q744" s="9"/>
    </row>
    <row r="745" spans="2:17" x14ac:dyDescent="0.25">
      <c r="B745" s="1"/>
      <c r="E745" s="3"/>
      <c r="F745" s="3"/>
      <c r="G745" s="3"/>
      <c r="H745" s="3"/>
      <c r="K745" s="3"/>
      <c r="L745" s="3"/>
      <c r="O745" s="11"/>
      <c r="P745" s="3"/>
      <c r="Q745" s="9"/>
    </row>
    <row r="746" spans="2:17" x14ac:dyDescent="0.25">
      <c r="B746" s="1"/>
      <c r="E746" s="3"/>
      <c r="F746" s="3"/>
      <c r="G746" s="3"/>
      <c r="H746" s="3"/>
      <c r="K746" s="3"/>
      <c r="L746" s="3"/>
      <c r="O746" s="11"/>
      <c r="P746" s="3"/>
      <c r="Q746" s="9"/>
    </row>
    <row r="747" spans="2:17" x14ac:dyDescent="0.25">
      <c r="B747" s="1"/>
      <c r="E747" s="3"/>
      <c r="F747" s="3"/>
      <c r="G747" s="3"/>
      <c r="H747" s="3"/>
      <c r="K747" s="3"/>
      <c r="L747" s="3"/>
      <c r="O747" s="11"/>
      <c r="P747" s="3"/>
      <c r="Q747" s="9"/>
    </row>
    <row r="748" spans="2:17" x14ac:dyDescent="0.25">
      <c r="B748" s="1"/>
      <c r="E748" s="3"/>
      <c r="F748" s="3"/>
      <c r="G748" s="3"/>
      <c r="H748" s="3"/>
      <c r="K748" s="3"/>
      <c r="L748" s="3"/>
      <c r="O748" s="11"/>
      <c r="P748" s="3"/>
      <c r="Q748" s="9"/>
    </row>
    <row r="749" spans="2:17" x14ac:dyDescent="0.25">
      <c r="B749" s="1"/>
      <c r="E749" s="3"/>
      <c r="F749" s="3"/>
      <c r="G749" s="3"/>
      <c r="H749" s="3"/>
      <c r="K749" s="3"/>
      <c r="L749" s="3"/>
      <c r="O749" s="11"/>
      <c r="P749" s="3"/>
      <c r="Q749" s="9"/>
    </row>
    <row r="750" spans="2:17" x14ac:dyDescent="0.25">
      <c r="B750" s="1"/>
      <c r="E750" s="3"/>
      <c r="F750" s="3"/>
      <c r="G750" s="3"/>
      <c r="H750" s="3"/>
      <c r="K750" s="3"/>
      <c r="L750" s="3"/>
      <c r="O750" s="11"/>
      <c r="P750" s="3"/>
      <c r="Q750" s="9"/>
    </row>
    <row r="751" spans="2:17" x14ac:dyDescent="0.25">
      <c r="B751" s="1"/>
      <c r="E751" s="3"/>
      <c r="F751" s="3"/>
      <c r="G751" s="3"/>
      <c r="H751" s="3"/>
      <c r="K751" s="3"/>
      <c r="L751" s="3"/>
      <c r="O751" s="11"/>
      <c r="P751" s="3"/>
      <c r="Q751" s="9"/>
    </row>
    <row r="752" spans="2:17" x14ac:dyDescent="0.25">
      <c r="B752" s="1"/>
      <c r="E752" s="3"/>
      <c r="F752" s="3"/>
      <c r="G752" s="3"/>
      <c r="H752" s="3"/>
      <c r="K752" s="3"/>
      <c r="L752" s="3"/>
      <c r="O752" s="11"/>
      <c r="P752" s="3"/>
      <c r="Q752" s="9"/>
    </row>
    <row r="753" spans="2:17" x14ac:dyDescent="0.25">
      <c r="B753" s="1"/>
      <c r="E753" s="3"/>
      <c r="F753" s="3"/>
      <c r="G753" s="3"/>
      <c r="H753" s="3"/>
      <c r="K753" s="3"/>
      <c r="L753" s="3"/>
      <c r="O753" s="11"/>
      <c r="P753" s="3"/>
      <c r="Q753" s="9"/>
    </row>
    <row r="754" spans="2:17" x14ac:dyDescent="0.25">
      <c r="B754" s="1"/>
      <c r="E754" s="3"/>
      <c r="F754" s="3"/>
      <c r="G754" s="3"/>
      <c r="H754" s="3"/>
      <c r="K754" s="3"/>
      <c r="L754" s="3"/>
      <c r="O754" s="11"/>
      <c r="P754" s="3"/>
      <c r="Q754" s="9"/>
    </row>
    <row r="755" spans="2:17" x14ac:dyDescent="0.25">
      <c r="B755" s="1"/>
      <c r="E755" s="3"/>
      <c r="F755" s="3"/>
      <c r="G755" s="3"/>
      <c r="H755" s="3"/>
      <c r="K755" s="3"/>
      <c r="L755" s="3"/>
      <c r="O755" s="11"/>
      <c r="P755" s="3"/>
      <c r="Q755" s="9"/>
    </row>
    <row r="756" spans="2:17" x14ac:dyDescent="0.25">
      <c r="B756" s="1"/>
      <c r="E756" s="3"/>
      <c r="F756" s="3"/>
      <c r="G756" s="3"/>
      <c r="H756" s="3"/>
      <c r="K756" s="3"/>
      <c r="L756" s="3"/>
      <c r="O756" s="11"/>
      <c r="P756" s="3"/>
      <c r="Q756" s="9"/>
    </row>
    <row r="757" spans="2:17" x14ac:dyDescent="0.25">
      <c r="B757" s="1"/>
      <c r="E757" s="3"/>
      <c r="F757" s="3"/>
      <c r="G757" s="3"/>
      <c r="H757" s="3"/>
      <c r="K757" s="3"/>
      <c r="L757" s="3"/>
      <c r="O757" s="11"/>
      <c r="P757" s="3"/>
      <c r="Q757" s="9"/>
    </row>
    <row r="758" spans="2:17" x14ac:dyDescent="0.25">
      <c r="B758" s="1"/>
      <c r="E758" s="3"/>
      <c r="F758" s="3"/>
      <c r="G758" s="3"/>
      <c r="H758" s="3"/>
      <c r="K758" s="3"/>
      <c r="L758" s="3"/>
      <c r="O758" s="11"/>
      <c r="P758" s="3"/>
      <c r="Q758" s="9"/>
    </row>
    <row r="759" spans="2:17" x14ac:dyDescent="0.25">
      <c r="B759" s="1"/>
      <c r="E759" s="3"/>
      <c r="F759" s="3"/>
      <c r="G759" s="3"/>
      <c r="H759" s="3"/>
      <c r="K759" s="3"/>
      <c r="L759" s="3"/>
      <c r="O759" s="11"/>
      <c r="P759" s="3"/>
      <c r="Q759" s="9"/>
    </row>
    <row r="760" spans="2:17" x14ac:dyDescent="0.25">
      <c r="B760" s="1"/>
      <c r="E760" s="3"/>
      <c r="F760" s="3"/>
      <c r="G760" s="3"/>
      <c r="H760" s="3"/>
      <c r="K760" s="3"/>
      <c r="L760" s="3"/>
      <c r="O760" s="11"/>
      <c r="P760" s="3"/>
      <c r="Q760" s="9"/>
    </row>
    <row r="761" spans="2:17" x14ac:dyDescent="0.25">
      <c r="B761" s="1"/>
      <c r="E761" s="3"/>
      <c r="F761" s="3"/>
      <c r="G761" s="3"/>
      <c r="H761" s="3"/>
      <c r="K761" s="3"/>
      <c r="L761" s="3"/>
      <c r="O761" s="11"/>
      <c r="P761" s="3"/>
      <c r="Q761" s="9"/>
    </row>
    <row r="762" spans="2:17" x14ac:dyDescent="0.25">
      <c r="B762" s="1"/>
      <c r="E762" s="3"/>
      <c r="F762" s="3"/>
      <c r="G762" s="3"/>
      <c r="H762" s="3"/>
      <c r="K762" s="3"/>
      <c r="L762" s="3"/>
      <c r="O762" s="11"/>
      <c r="P762" s="3"/>
      <c r="Q762" s="9"/>
    </row>
    <row r="763" spans="2:17" x14ac:dyDescent="0.25">
      <c r="B763" s="1"/>
      <c r="E763" s="3"/>
      <c r="F763" s="3"/>
      <c r="G763" s="3"/>
      <c r="H763" s="3"/>
      <c r="K763" s="3"/>
      <c r="L763" s="3"/>
      <c r="O763" s="11"/>
      <c r="P763" s="3"/>
      <c r="Q763" s="9"/>
    </row>
    <row r="764" spans="2:17" x14ac:dyDescent="0.25">
      <c r="B764" s="1"/>
      <c r="E764" s="3"/>
      <c r="F764" s="3"/>
      <c r="G764" s="3"/>
      <c r="H764" s="3"/>
      <c r="K764" s="3"/>
      <c r="L764" s="3"/>
      <c r="O764" s="11"/>
      <c r="P764" s="3"/>
      <c r="Q764" s="9"/>
    </row>
    <row r="765" spans="2:17" x14ac:dyDescent="0.25">
      <c r="B765" s="1"/>
      <c r="E765" s="3"/>
      <c r="F765" s="3"/>
      <c r="G765" s="3"/>
      <c r="H765" s="3"/>
      <c r="K765" s="3"/>
      <c r="L765" s="3"/>
      <c r="O765" s="11"/>
      <c r="P765" s="3"/>
      <c r="Q765" s="9"/>
    </row>
    <row r="766" spans="2:17" x14ac:dyDescent="0.25">
      <c r="B766" s="1"/>
      <c r="E766" s="3"/>
      <c r="F766" s="3"/>
      <c r="G766" s="3"/>
      <c r="H766" s="3"/>
      <c r="K766" s="3"/>
      <c r="L766" s="3"/>
      <c r="O766" s="11"/>
      <c r="P766" s="3"/>
      <c r="Q766" s="9"/>
    </row>
    <row r="767" spans="2:17" x14ac:dyDescent="0.25">
      <c r="B767" s="1"/>
      <c r="E767" s="3"/>
      <c r="F767" s="3"/>
      <c r="G767" s="3"/>
      <c r="H767" s="3"/>
      <c r="K767" s="3"/>
      <c r="L767" s="3"/>
      <c r="O767" s="11"/>
      <c r="P767" s="3"/>
      <c r="Q767" s="9"/>
    </row>
    <row r="768" spans="2:17" x14ac:dyDescent="0.25">
      <c r="B768" s="1"/>
      <c r="E768" s="3"/>
      <c r="F768" s="3"/>
      <c r="G768" s="3"/>
      <c r="H768" s="3"/>
      <c r="K768" s="3"/>
      <c r="L768" s="3"/>
      <c r="O768" s="11"/>
      <c r="P768" s="3"/>
      <c r="Q768" s="9"/>
    </row>
    <row r="769" spans="2:17" x14ac:dyDescent="0.25">
      <c r="B769" s="1"/>
      <c r="E769" s="3"/>
      <c r="F769" s="3"/>
      <c r="G769" s="3"/>
      <c r="H769" s="3"/>
      <c r="K769" s="3"/>
      <c r="L769" s="3"/>
      <c r="O769" s="11"/>
      <c r="P769" s="3"/>
      <c r="Q769" s="9"/>
    </row>
    <row r="770" spans="2:17" x14ac:dyDescent="0.25">
      <c r="B770" s="1"/>
      <c r="E770" s="3"/>
      <c r="F770" s="3"/>
      <c r="G770" s="3"/>
      <c r="H770" s="3"/>
      <c r="K770" s="3"/>
      <c r="L770" s="3"/>
      <c r="O770" s="11"/>
      <c r="P770" s="3"/>
      <c r="Q770" s="9"/>
    </row>
    <row r="771" spans="2:17" x14ac:dyDescent="0.25">
      <c r="B771" s="1"/>
      <c r="E771" s="3"/>
      <c r="F771" s="3"/>
      <c r="G771" s="3"/>
      <c r="H771" s="3"/>
      <c r="K771" s="3"/>
      <c r="L771" s="3"/>
      <c r="O771" s="11"/>
      <c r="P771" s="3"/>
      <c r="Q771" s="9"/>
    </row>
    <row r="772" spans="2:17" x14ac:dyDescent="0.25">
      <c r="B772" s="1"/>
      <c r="E772" s="3"/>
      <c r="F772" s="3"/>
      <c r="G772" s="3"/>
      <c r="H772" s="3"/>
      <c r="K772" s="3"/>
      <c r="L772" s="3"/>
      <c r="O772" s="11"/>
      <c r="P772" s="3"/>
      <c r="Q772" s="9"/>
    </row>
    <row r="773" spans="2:17" x14ac:dyDescent="0.25">
      <c r="B773" s="1"/>
      <c r="E773" s="3"/>
      <c r="F773" s="3"/>
      <c r="G773" s="3"/>
      <c r="H773" s="3"/>
      <c r="K773" s="3"/>
      <c r="L773" s="3"/>
      <c r="O773" s="11"/>
      <c r="P773" s="3"/>
      <c r="Q773" s="9"/>
    </row>
    <row r="774" spans="2:17" x14ac:dyDescent="0.25">
      <c r="B774" s="1"/>
      <c r="E774" s="3"/>
      <c r="F774" s="3"/>
      <c r="G774" s="3"/>
      <c r="H774" s="3"/>
      <c r="K774" s="3"/>
      <c r="L774" s="3"/>
      <c r="O774" s="11"/>
      <c r="P774" s="3"/>
      <c r="Q774" s="9"/>
    </row>
    <row r="775" spans="2:17" x14ac:dyDescent="0.25">
      <c r="B775" s="1"/>
      <c r="E775" s="3"/>
      <c r="F775" s="3"/>
      <c r="G775" s="3"/>
      <c r="H775" s="3"/>
      <c r="K775" s="3"/>
      <c r="L775" s="3"/>
      <c r="O775" s="11"/>
      <c r="P775" s="3"/>
      <c r="Q775" s="9"/>
    </row>
    <row r="776" spans="2:17" x14ac:dyDescent="0.25">
      <c r="B776" s="1"/>
      <c r="E776" s="3"/>
      <c r="F776" s="3"/>
      <c r="G776" s="3"/>
      <c r="H776" s="3"/>
      <c r="K776" s="3"/>
      <c r="L776" s="3"/>
      <c r="O776" s="11"/>
      <c r="P776" s="3"/>
      <c r="Q776" s="9"/>
    </row>
    <row r="777" spans="2:17" x14ac:dyDescent="0.25">
      <c r="B777" s="1"/>
      <c r="E777" s="3"/>
      <c r="F777" s="3"/>
      <c r="G777" s="3"/>
      <c r="H777" s="3"/>
      <c r="K777" s="3"/>
      <c r="L777" s="3"/>
      <c r="O777" s="11"/>
      <c r="P777" s="3"/>
      <c r="Q777" s="9"/>
    </row>
    <row r="778" spans="2:17" x14ac:dyDescent="0.25">
      <c r="B778" s="1"/>
      <c r="E778" s="3"/>
      <c r="F778" s="3"/>
      <c r="G778" s="3"/>
      <c r="H778" s="3"/>
      <c r="K778" s="3"/>
      <c r="L778" s="3"/>
      <c r="O778" s="11"/>
      <c r="P778" s="3"/>
      <c r="Q778" s="9"/>
    </row>
    <row r="779" spans="2:17" x14ac:dyDescent="0.25">
      <c r="B779" s="1"/>
      <c r="E779" s="3"/>
      <c r="F779" s="3"/>
      <c r="G779" s="3"/>
      <c r="H779" s="3"/>
      <c r="K779" s="3"/>
      <c r="L779" s="3"/>
      <c r="O779" s="11"/>
      <c r="P779" s="3"/>
      <c r="Q779" s="9"/>
    </row>
    <row r="780" spans="2:17" x14ac:dyDescent="0.25">
      <c r="B780" s="1"/>
      <c r="E780" s="3"/>
      <c r="F780" s="3"/>
      <c r="G780" s="3"/>
      <c r="H780" s="3"/>
      <c r="K780" s="3"/>
      <c r="L780" s="3"/>
      <c r="O780" s="11"/>
      <c r="P780" s="3"/>
      <c r="Q780" s="9"/>
    </row>
    <row r="781" spans="2:17" x14ac:dyDescent="0.25">
      <c r="B781" s="1"/>
      <c r="E781" s="3"/>
      <c r="F781" s="3"/>
      <c r="G781" s="3"/>
      <c r="H781" s="3"/>
      <c r="K781" s="3"/>
      <c r="L781" s="3"/>
      <c r="O781" s="11"/>
      <c r="P781" s="3"/>
      <c r="Q781" s="9"/>
    </row>
    <row r="782" spans="2:17" x14ac:dyDescent="0.25">
      <c r="B782" s="1"/>
      <c r="E782" s="3"/>
      <c r="F782" s="3"/>
      <c r="G782" s="3"/>
      <c r="H782" s="3"/>
      <c r="K782" s="3"/>
      <c r="L782" s="3"/>
      <c r="O782" s="11"/>
      <c r="P782" s="3"/>
      <c r="Q782" s="9"/>
    </row>
    <row r="783" spans="2:17" x14ac:dyDescent="0.25">
      <c r="B783" s="1"/>
      <c r="E783" s="3"/>
      <c r="F783" s="3"/>
      <c r="G783" s="3"/>
      <c r="H783" s="3"/>
      <c r="K783" s="3"/>
      <c r="L783" s="3"/>
      <c r="O783" s="11"/>
      <c r="P783" s="3"/>
      <c r="Q783" s="9"/>
    </row>
    <row r="784" spans="2:17" x14ac:dyDescent="0.25">
      <c r="B784" s="1"/>
      <c r="E784" s="3"/>
      <c r="F784" s="3"/>
      <c r="G784" s="3"/>
      <c r="H784" s="3"/>
      <c r="K784" s="3"/>
      <c r="L784" s="3"/>
      <c r="O784" s="11"/>
      <c r="P784" s="3"/>
      <c r="Q784" s="9"/>
    </row>
    <row r="785" spans="2:17" x14ac:dyDescent="0.25">
      <c r="B785" s="1"/>
      <c r="E785" s="3"/>
      <c r="F785" s="3"/>
      <c r="G785" s="3"/>
      <c r="H785" s="3"/>
      <c r="K785" s="3"/>
      <c r="L785" s="3"/>
      <c r="O785" s="11"/>
      <c r="P785" s="3"/>
      <c r="Q785" s="9"/>
    </row>
    <row r="786" spans="2:17" x14ac:dyDescent="0.25">
      <c r="B786" s="1"/>
      <c r="E786" s="3"/>
      <c r="F786" s="3"/>
      <c r="G786" s="3"/>
      <c r="H786" s="3"/>
      <c r="K786" s="3"/>
      <c r="L786" s="3"/>
      <c r="O786" s="11"/>
      <c r="P786" s="3"/>
      <c r="Q786" s="9"/>
    </row>
    <row r="787" spans="2:17" x14ac:dyDescent="0.25">
      <c r="B787" s="1"/>
      <c r="E787" s="3"/>
      <c r="F787" s="3"/>
      <c r="G787" s="3"/>
      <c r="H787" s="3"/>
      <c r="K787" s="3"/>
      <c r="L787" s="3"/>
      <c r="O787" s="11"/>
      <c r="P787" s="3"/>
      <c r="Q787" s="9"/>
    </row>
    <row r="788" spans="2:17" x14ac:dyDescent="0.25">
      <c r="B788" s="1"/>
      <c r="E788" s="3"/>
      <c r="F788" s="3"/>
      <c r="G788" s="3"/>
      <c r="H788" s="3"/>
      <c r="K788" s="3"/>
      <c r="L788" s="3"/>
      <c r="O788" s="11"/>
      <c r="P788" s="3"/>
      <c r="Q788" s="9"/>
    </row>
    <row r="789" spans="2:17" x14ac:dyDescent="0.25">
      <c r="B789" s="1"/>
      <c r="E789" s="3"/>
      <c r="F789" s="3"/>
      <c r="G789" s="3"/>
      <c r="H789" s="3"/>
      <c r="K789" s="3"/>
      <c r="L789" s="3"/>
      <c r="O789" s="11"/>
      <c r="P789" s="3"/>
      <c r="Q789" s="9"/>
    </row>
    <row r="790" spans="2:17" x14ac:dyDescent="0.25">
      <c r="B790" s="1"/>
      <c r="E790" s="3"/>
      <c r="F790" s="3"/>
      <c r="G790" s="3"/>
      <c r="H790" s="3"/>
      <c r="K790" s="3"/>
      <c r="L790" s="3"/>
      <c r="O790" s="11"/>
      <c r="P790" s="3"/>
      <c r="Q790" s="9"/>
    </row>
    <row r="791" spans="2:17" x14ac:dyDescent="0.25">
      <c r="B791" s="1"/>
      <c r="E791" s="3"/>
      <c r="F791" s="3"/>
      <c r="G791" s="3"/>
      <c r="H791" s="3"/>
      <c r="K791" s="3"/>
      <c r="L791" s="3"/>
      <c r="O791" s="11"/>
      <c r="P791" s="3"/>
      <c r="Q791" s="9"/>
    </row>
    <row r="792" spans="2:17" x14ac:dyDescent="0.25">
      <c r="B792" s="1"/>
      <c r="E792" s="3"/>
      <c r="F792" s="3"/>
      <c r="G792" s="3"/>
      <c r="H792" s="3"/>
      <c r="K792" s="3"/>
      <c r="L792" s="3"/>
      <c r="O792" s="11"/>
      <c r="P792" s="3"/>
      <c r="Q792" s="9"/>
    </row>
    <row r="793" spans="2:17" x14ac:dyDescent="0.25">
      <c r="B793" s="1"/>
      <c r="E793" s="3"/>
      <c r="F793" s="3"/>
      <c r="G793" s="3"/>
      <c r="H793" s="3"/>
      <c r="K793" s="3"/>
      <c r="L793" s="3"/>
      <c r="O793" s="11"/>
      <c r="P793" s="3"/>
      <c r="Q793" s="9"/>
    </row>
    <row r="794" spans="2:17" x14ac:dyDescent="0.25">
      <c r="B794" s="1"/>
      <c r="E794" s="3"/>
      <c r="F794" s="3"/>
      <c r="G794" s="3"/>
      <c r="H794" s="3"/>
      <c r="K794" s="3"/>
      <c r="L794" s="3"/>
      <c r="O794" s="11"/>
      <c r="P794" s="3"/>
      <c r="Q794" s="9"/>
    </row>
    <row r="795" spans="2:17" x14ac:dyDescent="0.25">
      <c r="B795" s="1"/>
      <c r="E795" s="3"/>
      <c r="F795" s="3"/>
      <c r="G795" s="3"/>
      <c r="H795" s="3"/>
      <c r="K795" s="3"/>
      <c r="L795" s="3"/>
      <c r="O795" s="11"/>
      <c r="P795" s="3"/>
      <c r="Q795" s="9"/>
    </row>
    <row r="796" spans="2:17" x14ac:dyDescent="0.25">
      <c r="B796" s="1"/>
      <c r="E796" s="3"/>
      <c r="F796" s="3"/>
      <c r="G796" s="3"/>
      <c r="H796" s="3"/>
      <c r="K796" s="3"/>
      <c r="L796" s="3"/>
      <c r="O796" s="11"/>
      <c r="P796" s="3"/>
      <c r="Q796" s="9"/>
    </row>
    <row r="797" spans="2:17" x14ac:dyDescent="0.25">
      <c r="B797" s="1"/>
      <c r="E797" s="3"/>
      <c r="F797" s="3"/>
      <c r="G797" s="3"/>
      <c r="H797" s="3"/>
      <c r="K797" s="3"/>
      <c r="L797" s="3"/>
      <c r="O797" s="11"/>
      <c r="P797" s="3"/>
      <c r="Q797" s="9"/>
    </row>
    <row r="798" spans="2:17" x14ac:dyDescent="0.25">
      <c r="B798" s="1"/>
      <c r="E798" s="3"/>
      <c r="F798" s="3"/>
      <c r="G798" s="3"/>
      <c r="H798" s="3"/>
      <c r="K798" s="3"/>
      <c r="L798" s="3"/>
      <c r="O798" s="11"/>
      <c r="P798" s="3"/>
      <c r="Q798" s="9"/>
    </row>
    <row r="799" spans="2:17" x14ac:dyDescent="0.25">
      <c r="B799" s="1"/>
      <c r="E799" s="3"/>
      <c r="F799" s="3"/>
      <c r="G799" s="3"/>
      <c r="H799" s="3"/>
      <c r="K799" s="3"/>
      <c r="L799" s="3"/>
      <c r="O799" s="11"/>
      <c r="P799" s="3"/>
      <c r="Q799" s="9"/>
    </row>
    <row r="800" spans="2:17" x14ac:dyDescent="0.25">
      <c r="B800" s="1"/>
      <c r="E800" s="3"/>
      <c r="F800" s="3"/>
      <c r="G800" s="3"/>
      <c r="H800" s="3"/>
      <c r="K800" s="3"/>
      <c r="L800" s="3"/>
      <c r="O800" s="11"/>
      <c r="P800" s="3"/>
      <c r="Q800" s="9"/>
    </row>
    <row r="801" spans="2:17" x14ac:dyDescent="0.25">
      <c r="B801" s="1"/>
      <c r="E801" s="3"/>
      <c r="F801" s="3"/>
      <c r="G801" s="3"/>
      <c r="H801" s="3"/>
      <c r="K801" s="3"/>
      <c r="L801" s="3"/>
      <c r="O801" s="11"/>
      <c r="P801" s="3"/>
      <c r="Q801" s="9"/>
    </row>
    <row r="802" spans="2:17" x14ac:dyDescent="0.25">
      <c r="B802" s="1"/>
      <c r="E802" s="3"/>
      <c r="F802" s="3"/>
      <c r="G802" s="3"/>
      <c r="H802" s="3"/>
      <c r="K802" s="3"/>
      <c r="L802" s="3"/>
      <c r="O802" s="11"/>
      <c r="P802" s="3"/>
      <c r="Q802" s="9"/>
    </row>
    <row r="803" spans="2:17" x14ac:dyDescent="0.25">
      <c r="B803" s="1"/>
      <c r="E803" s="3"/>
      <c r="F803" s="3"/>
      <c r="G803" s="3"/>
      <c r="H803" s="3"/>
      <c r="K803" s="3"/>
      <c r="L803" s="3"/>
      <c r="O803" s="11"/>
      <c r="P803" s="3"/>
      <c r="Q803" s="9"/>
    </row>
    <row r="804" spans="2:17" x14ac:dyDescent="0.25">
      <c r="B804" s="1"/>
      <c r="E804" s="3"/>
      <c r="F804" s="3"/>
      <c r="G804" s="3"/>
      <c r="H804" s="3"/>
      <c r="K804" s="3"/>
      <c r="L804" s="3"/>
      <c r="O804" s="11"/>
      <c r="P804" s="3"/>
      <c r="Q804" s="9"/>
    </row>
    <row r="805" spans="2:17" x14ac:dyDescent="0.25">
      <c r="B805" s="1"/>
      <c r="E805" s="3"/>
      <c r="F805" s="3"/>
      <c r="G805" s="3"/>
      <c r="H805" s="3"/>
      <c r="K805" s="3"/>
      <c r="L805" s="3"/>
      <c r="O805" s="11"/>
      <c r="P805" s="3"/>
      <c r="Q805" s="9"/>
    </row>
    <row r="806" spans="2:17" x14ac:dyDescent="0.25">
      <c r="B806" s="1"/>
      <c r="E806" s="3"/>
      <c r="F806" s="3"/>
      <c r="G806" s="3"/>
      <c r="H806" s="3"/>
      <c r="K806" s="3"/>
      <c r="L806" s="3"/>
      <c r="O806" s="11"/>
      <c r="P806" s="3"/>
      <c r="Q806" s="9"/>
    </row>
    <row r="807" spans="2:17" x14ac:dyDescent="0.25">
      <c r="B807" s="1"/>
      <c r="E807" s="3"/>
      <c r="F807" s="3"/>
      <c r="G807" s="3"/>
      <c r="H807" s="3"/>
      <c r="K807" s="3"/>
      <c r="L807" s="3"/>
      <c r="O807" s="11"/>
      <c r="P807" s="3"/>
      <c r="Q807" s="9"/>
    </row>
    <row r="808" spans="2:17" x14ac:dyDescent="0.25">
      <c r="B808" s="1"/>
      <c r="E808" s="3"/>
      <c r="F808" s="3"/>
      <c r="G808" s="3"/>
      <c r="H808" s="3"/>
      <c r="K808" s="3"/>
      <c r="L808" s="3"/>
      <c r="O808" s="11"/>
      <c r="P808" s="3"/>
      <c r="Q808" s="9"/>
    </row>
    <row r="809" spans="2:17" x14ac:dyDescent="0.25">
      <c r="B809" s="1"/>
      <c r="E809" s="3"/>
      <c r="F809" s="3"/>
      <c r="G809" s="3"/>
      <c r="H809" s="3"/>
      <c r="K809" s="3"/>
      <c r="L809" s="3"/>
      <c r="O809" s="11"/>
      <c r="P809" s="3"/>
      <c r="Q809" s="9"/>
    </row>
    <row r="810" spans="2:17" x14ac:dyDescent="0.25">
      <c r="B810" s="1"/>
      <c r="E810" s="3"/>
      <c r="F810" s="3"/>
      <c r="G810" s="3"/>
      <c r="H810" s="3"/>
      <c r="K810" s="3"/>
      <c r="L810" s="3"/>
      <c r="O810" s="11"/>
      <c r="P810" s="3"/>
      <c r="Q810" s="9"/>
    </row>
    <row r="811" spans="2:17" x14ac:dyDescent="0.25">
      <c r="B811" s="1"/>
      <c r="E811" s="3"/>
      <c r="F811" s="3"/>
      <c r="G811" s="3"/>
      <c r="H811" s="3"/>
      <c r="K811" s="3"/>
      <c r="L811" s="3"/>
      <c r="O811" s="11"/>
      <c r="P811" s="3"/>
      <c r="Q811" s="9"/>
    </row>
    <row r="812" spans="2:17" x14ac:dyDescent="0.25">
      <c r="B812" s="1"/>
      <c r="E812" s="3"/>
      <c r="F812" s="3"/>
      <c r="G812" s="3"/>
      <c r="H812" s="3"/>
      <c r="K812" s="3"/>
      <c r="L812" s="3"/>
      <c r="O812" s="11"/>
      <c r="P812" s="3"/>
      <c r="Q812" s="9"/>
    </row>
    <row r="813" spans="2:17" x14ac:dyDescent="0.25">
      <c r="B813" s="1"/>
      <c r="E813" s="3"/>
      <c r="F813" s="3"/>
      <c r="G813" s="3"/>
      <c r="H813" s="3"/>
      <c r="K813" s="3"/>
      <c r="L813" s="3"/>
      <c r="O813" s="11"/>
      <c r="P813" s="3"/>
      <c r="Q813" s="9"/>
    </row>
    <row r="814" spans="2:17" x14ac:dyDescent="0.25">
      <c r="B814" s="1"/>
      <c r="E814" s="3"/>
      <c r="F814" s="3"/>
      <c r="G814" s="3"/>
      <c r="H814" s="3"/>
      <c r="K814" s="3"/>
      <c r="L814" s="3"/>
      <c r="O814" s="11"/>
      <c r="P814" s="3"/>
      <c r="Q814" s="9"/>
    </row>
    <row r="815" spans="2:17" x14ac:dyDescent="0.25">
      <c r="B815" s="1"/>
      <c r="E815" s="3"/>
      <c r="F815" s="3"/>
      <c r="G815" s="3"/>
      <c r="H815" s="3"/>
      <c r="K815" s="3"/>
      <c r="L815" s="3"/>
      <c r="O815" s="11"/>
      <c r="P815" s="3"/>
      <c r="Q815" s="9"/>
    </row>
    <row r="816" spans="2:17" x14ac:dyDescent="0.25">
      <c r="B816" s="1"/>
      <c r="E816" s="3"/>
      <c r="F816" s="3"/>
      <c r="G816" s="3"/>
      <c r="H816" s="3"/>
      <c r="K816" s="3"/>
      <c r="L816" s="3"/>
      <c r="O816" s="11"/>
      <c r="P816" s="3"/>
      <c r="Q816" s="9"/>
    </row>
    <row r="817" spans="2:17" x14ac:dyDescent="0.25">
      <c r="B817" s="1"/>
      <c r="E817" s="3"/>
      <c r="F817" s="3"/>
      <c r="G817" s="3"/>
      <c r="H817" s="3"/>
      <c r="K817" s="3"/>
      <c r="L817" s="3"/>
      <c r="O817" s="11"/>
      <c r="P817" s="3"/>
      <c r="Q817" s="9"/>
    </row>
    <row r="818" spans="2:17" x14ac:dyDescent="0.25">
      <c r="B818" s="1"/>
      <c r="E818" s="3"/>
      <c r="F818" s="3"/>
      <c r="G818" s="3"/>
      <c r="H818" s="3"/>
      <c r="K818" s="3"/>
      <c r="L818" s="3"/>
      <c r="O818" s="11"/>
      <c r="P818" s="3"/>
      <c r="Q818" s="9"/>
    </row>
    <row r="819" spans="2:17" x14ac:dyDescent="0.25">
      <c r="B819" s="1"/>
      <c r="E819" s="3"/>
      <c r="F819" s="3"/>
      <c r="G819" s="3"/>
      <c r="H819" s="3"/>
      <c r="K819" s="3"/>
      <c r="L819" s="3"/>
      <c r="O819" s="11"/>
      <c r="P819" s="3"/>
      <c r="Q819" s="9"/>
    </row>
    <row r="820" spans="2:17" x14ac:dyDescent="0.25">
      <c r="B820" s="1"/>
      <c r="E820" s="3"/>
      <c r="F820" s="3"/>
      <c r="G820" s="3"/>
      <c r="H820" s="3"/>
      <c r="K820" s="3"/>
      <c r="L820" s="3"/>
      <c r="O820" s="11"/>
      <c r="P820" s="3"/>
      <c r="Q820" s="9"/>
    </row>
    <row r="821" spans="2:17" x14ac:dyDescent="0.25">
      <c r="B821" s="1"/>
      <c r="E821" s="3"/>
      <c r="F821" s="3"/>
      <c r="G821" s="3"/>
      <c r="H821" s="3"/>
      <c r="K821" s="3"/>
      <c r="L821" s="3"/>
      <c r="O821" s="11"/>
      <c r="P821" s="3"/>
      <c r="Q821" s="9"/>
    </row>
    <row r="822" spans="2:17" x14ac:dyDescent="0.25">
      <c r="B822" s="1"/>
      <c r="E822" s="3"/>
      <c r="F822" s="3"/>
      <c r="G822" s="3"/>
      <c r="H822" s="3"/>
      <c r="K822" s="3"/>
      <c r="L822" s="3"/>
      <c r="O822" s="11"/>
      <c r="P822" s="3"/>
      <c r="Q822" s="9"/>
    </row>
    <row r="823" spans="2:17" x14ac:dyDescent="0.25">
      <c r="B823" s="1"/>
      <c r="E823" s="3"/>
      <c r="F823" s="3"/>
      <c r="G823" s="3"/>
      <c r="H823" s="3"/>
      <c r="K823" s="3"/>
      <c r="L823" s="3"/>
      <c r="O823" s="11"/>
      <c r="P823" s="3"/>
      <c r="Q823" s="9"/>
    </row>
    <row r="824" spans="2:17" x14ac:dyDescent="0.25">
      <c r="B824" s="1"/>
      <c r="E824" s="3"/>
      <c r="F824" s="3"/>
      <c r="G824" s="3"/>
      <c r="H824" s="3"/>
      <c r="K824" s="3"/>
      <c r="L824" s="3"/>
      <c r="O824" s="11"/>
      <c r="P824" s="3"/>
      <c r="Q824" s="9"/>
    </row>
    <row r="825" spans="2:17" x14ac:dyDescent="0.25">
      <c r="B825" s="1"/>
      <c r="E825" s="3"/>
      <c r="F825" s="3"/>
      <c r="G825" s="3"/>
      <c r="H825" s="3"/>
      <c r="K825" s="3"/>
      <c r="L825" s="3"/>
      <c r="O825" s="11"/>
      <c r="P825" s="3"/>
      <c r="Q825" s="9"/>
    </row>
    <row r="826" spans="2:17" x14ac:dyDescent="0.25">
      <c r="B826" s="1"/>
      <c r="E826" s="3"/>
      <c r="F826" s="3"/>
      <c r="G826" s="3"/>
      <c r="H826" s="3"/>
      <c r="K826" s="3"/>
      <c r="L826" s="3"/>
      <c r="O826" s="11"/>
      <c r="P826" s="3"/>
      <c r="Q826" s="9"/>
    </row>
    <row r="827" spans="2:17" x14ac:dyDescent="0.25">
      <c r="B827" s="1"/>
      <c r="E827" s="3"/>
      <c r="F827" s="3"/>
      <c r="G827" s="3"/>
      <c r="H827" s="3"/>
      <c r="K827" s="3"/>
      <c r="L827" s="3"/>
      <c r="O827" s="11"/>
      <c r="P827" s="3"/>
      <c r="Q827" s="9"/>
    </row>
    <row r="828" spans="2:17" x14ac:dyDescent="0.25">
      <c r="B828" s="1"/>
      <c r="E828" s="3"/>
      <c r="F828" s="3"/>
      <c r="G828" s="3"/>
      <c r="H828" s="3"/>
      <c r="K828" s="3"/>
      <c r="L828" s="3"/>
      <c r="O828" s="11"/>
      <c r="P828" s="3"/>
      <c r="Q828" s="9"/>
    </row>
    <row r="829" spans="2:17" x14ac:dyDescent="0.25">
      <c r="B829" s="1"/>
      <c r="E829" s="3"/>
      <c r="F829" s="3"/>
      <c r="G829" s="3"/>
      <c r="H829" s="3"/>
      <c r="K829" s="3"/>
      <c r="L829" s="3"/>
      <c r="O829" s="11"/>
      <c r="P829" s="3"/>
      <c r="Q829" s="9"/>
    </row>
    <row r="830" spans="2:17" x14ac:dyDescent="0.25">
      <c r="B830" s="1"/>
      <c r="E830" s="3"/>
      <c r="F830" s="3"/>
      <c r="G830" s="3"/>
      <c r="H830" s="3"/>
      <c r="K830" s="3"/>
      <c r="L830" s="3"/>
      <c r="O830" s="11"/>
      <c r="P830" s="3"/>
      <c r="Q830" s="9"/>
    </row>
    <row r="831" spans="2:17" x14ac:dyDescent="0.25">
      <c r="B831" s="1"/>
      <c r="E831" s="3"/>
      <c r="F831" s="3"/>
      <c r="G831" s="3"/>
      <c r="H831" s="3"/>
      <c r="K831" s="3"/>
      <c r="L831" s="3"/>
      <c r="O831" s="11"/>
      <c r="P831" s="3"/>
      <c r="Q831" s="9"/>
    </row>
    <row r="832" spans="2:17" x14ac:dyDescent="0.25">
      <c r="B832" s="1"/>
      <c r="E832" s="3"/>
      <c r="F832" s="3"/>
      <c r="G832" s="3"/>
      <c r="H832" s="3"/>
      <c r="K832" s="3"/>
      <c r="L832" s="3"/>
      <c r="O832" s="11"/>
      <c r="P832" s="3"/>
      <c r="Q832" s="9"/>
    </row>
    <row r="833" spans="2:17" x14ac:dyDescent="0.25">
      <c r="B833" s="1"/>
      <c r="E833" s="3"/>
      <c r="F833" s="3"/>
      <c r="G833" s="3"/>
      <c r="H833" s="3"/>
      <c r="K833" s="3"/>
      <c r="L833" s="3"/>
      <c r="O833" s="11"/>
      <c r="P833" s="3"/>
      <c r="Q833" s="9"/>
    </row>
    <row r="834" spans="2:17" x14ac:dyDescent="0.25">
      <c r="B834" s="1"/>
      <c r="E834" s="3"/>
      <c r="F834" s="3"/>
      <c r="G834" s="3"/>
      <c r="H834" s="3"/>
      <c r="K834" s="3"/>
      <c r="L834" s="3"/>
      <c r="O834" s="11"/>
      <c r="P834" s="3"/>
      <c r="Q834" s="9"/>
    </row>
    <row r="835" spans="2:17" x14ac:dyDescent="0.25">
      <c r="B835" s="1"/>
      <c r="E835" s="3"/>
      <c r="F835" s="3"/>
      <c r="G835" s="3"/>
      <c r="H835" s="3"/>
      <c r="K835" s="3"/>
      <c r="L835" s="3"/>
      <c r="O835" s="11"/>
      <c r="P835" s="3"/>
      <c r="Q835" s="9"/>
    </row>
    <row r="836" spans="2:17" x14ac:dyDescent="0.25">
      <c r="B836" s="1"/>
      <c r="E836" s="3"/>
      <c r="F836" s="3"/>
      <c r="G836" s="3"/>
      <c r="H836" s="3"/>
      <c r="K836" s="3"/>
      <c r="L836" s="3"/>
      <c r="O836" s="11"/>
      <c r="P836" s="3"/>
      <c r="Q836" s="9"/>
    </row>
    <row r="837" spans="2:17" x14ac:dyDescent="0.25">
      <c r="B837" s="1"/>
      <c r="E837" s="3"/>
      <c r="F837" s="3"/>
      <c r="G837" s="3"/>
      <c r="H837" s="3"/>
      <c r="K837" s="3"/>
      <c r="L837" s="3"/>
      <c r="O837" s="11"/>
      <c r="P837" s="3"/>
      <c r="Q837" s="9"/>
    </row>
    <row r="838" spans="2:17" x14ac:dyDescent="0.25">
      <c r="B838" s="1"/>
      <c r="E838" s="3"/>
      <c r="F838" s="3"/>
      <c r="G838" s="3"/>
      <c r="H838" s="3"/>
      <c r="K838" s="3"/>
      <c r="L838" s="3"/>
      <c r="O838" s="11"/>
      <c r="P838" s="3"/>
      <c r="Q838" s="9"/>
    </row>
    <row r="839" spans="2:17" x14ac:dyDescent="0.25">
      <c r="B839" s="1"/>
      <c r="E839" s="3"/>
      <c r="F839" s="3"/>
      <c r="G839" s="3"/>
      <c r="H839" s="3"/>
      <c r="K839" s="3"/>
      <c r="L839" s="3"/>
      <c r="O839" s="11"/>
      <c r="P839" s="3"/>
      <c r="Q839" s="9"/>
    </row>
    <row r="840" spans="2:17" x14ac:dyDescent="0.25">
      <c r="B840" s="1"/>
      <c r="E840" s="3"/>
      <c r="F840" s="3"/>
      <c r="G840" s="3"/>
      <c r="H840" s="3"/>
      <c r="K840" s="3"/>
      <c r="L840" s="3"/>
      <c r="O840" s="11"/>
      <c r="P840" s="3"/>
      <c r="Q840" s="9"/>
    </row>
    <row r="841" spans="2:17" x14ac:dyDescent="0.25">
      <c r="B841" s="1"/>
      <c r="E841" s="3"/>
      <c r="F841" s="3"/>
      <c r="G841" s="3"/>
      <c r="H841" s="3"/>
      <c r="K841" s="3"/>
      <c r="L841" s="3"/>
      <c r="O841" s="11"/>
      <c r="P841" s="3"/>
      <c r="Q841" s="9"/>
    </row>
    <row r="842" spans="2:17" x14ac:dyDescent="0.25">
      <c r="B842" s="1"/>
      <c r="E842" s="3"/>
      <c r="F842" s="3"/>
      <c r="G842" s="3"/>
      <c r="H842" s="3"/>
      <c r="K842" s="3"/>
      <c r="L842" s="3"/>
      <c r="O842" s="11"/>
      <c r="P842" s="3"/>
      <c r="Q842" s="9"/>
    </row>
    <row r="843" spans="2:17" x14ac:dyDescent="0.25">
      <c r="B843" s="1"/>
      <c r="E843" s="3"/>
      <c r="F843" s="3"/>
      <c r="G843" s="3"/>
      <c r="H843" s="3"/>
      <c r="K843" s="3"/>
      <c r="L843" s="3"/>
      <c r="O843" s="11"/>
      <c r="P843" s="3"/>
      <c r="Q843" s="9"/>
    </row>
    <row r="844" spans="2:17" x14ac:dyDescent="0.25">
      <c r="B844" s="1"/>
      <c r="E844" s="3"/>
      <c r="F844" s="3"/>
      <c r="G844" s="3"/>
      <c r="H844" s="3"/>
      <c r="K844" s="3"/>
      <c r="L844" s="3"/>
      <c r="O844" s="11"/>
      <c r="P844" s="3"/>
      <c r="Q844" s="9"/>
    </row>
    <row r="845" spans="2:17" x14ac:dyDescent="0.25">
      <c r="B845" s="1"/>
      <c r="E845" s="3"/>
      <c r="F845" s="3"/>
      <c r="G845" s="3"/>
      <c r="H845" s="3"/>
      <c r="K845" s="3"/>
      <c r="L845" s="3"/>
      <c r="O845" s="11"/>
      <c r="P845" s="3"/>
      <c r="Q845" s="9"/>
    </row>
    <row r="846" spans="2:17" x14ac:dyDescent="0.25">
      <c r="B846" s="1"/>
      <c r="E846" s="3"/>
      <c r="F846" s="3"/>
      <c r="G846" s="3"/>
      <c r="H846" s="3"/>
      <c r="K846" s="3"/>
      <c r="L846" s="3"/>
      <c r="O846" s="11"/>
      <c r="P846" s="3"/>
      <c r="Q846" s="9"/>
    </row>
    <row r="847" spans="2:17" x14ac:dyDescent="0.25">
      <c r="B847" s="1"/>
      <c r="E847" s="3"/>
      <c r="F847" s="3"/>
      <c r="G847" s="3"/>
      <c r="H847" s="3"/>
      <c r="K847" s="3"/>
      <c r="L847" s="3"/>
      <c r="O847" s="11"/>
      <c r="P847" s="3"/>
      <c r="Q847" s="9"/>
    </row>
    <row r="848" spans="2:17" x14ac:dyDescent="0.25">
      <c r="B848" s="1"/>
      <c r="E848" s="3"/>
      <c r="F848" s="3"/>
      <c r="G848" s="3"/>
      <c r="H848" s="3"/>
      <c r="K848" s="3"/>
      <c r="L848" s="3"/>
      <c r="O848" s="11"/>
      <c r="P848" s="3"/>
      <c r="Q848" s="9"/>
    </row>
    <row r="849" spans="2:17" x14ac:dyDescent="0.25">
      <c r="B849" s="1"/>
      <c r="E849" s="3"/>
      <c r="F849" s="3"/>
      <c r="G849" s="3"/>
      <c r="H849" s="3"/>
      <c r="K849" s="3"/>
      <c r="L849" s="3"/>
      <c r="O849" s="11"/>
      <c r="P849" s="3"/>
      <c r="Q849" s="9"/>
    </row>
    <row r="850" spans="2:17" x14ac:dyDescent="0.25">
      <c r="B850" s="1"/>
      <c r="E850" s="3"/>
      <c r="F850" s="3"/>
      <c r="G850" s="3"/>
      <c r="H850" s="3"/>
      <c r="K850" s="3"/>
      <c r="L850" s="3"/>
      <c r="O850" s="11"/>
      <c r="P850" s="3"/>
      <c r="Q850" s="9"/>
    </row>
    <row r="851" spans="2:17" x14ac:dyDescent="0.25">
      <c r="B851" s="1"/>
      <c r="E851" s="3"/>
      <c r="F851" s="3"/>
      <c r="G851" s="3"/>
      <c r="H851" s="3"/>
      <c r="K851" s="3"/>
      <c r="L851" s="3"/>
      <c r="O851" s="11"/>
      <c r="P851" s="3"/>
      <c r="Q851" s="9"/>
    </row>
    <row r="852" spans="2:17" x14ac:dyDescent="0.25">
      <c r="B852" s="1"/>
      <c r="E852" s="3"/>
      <c r="F852" s="3"/>
      <c r="G852" s="3"/>
      <c r="H852" s="3"/>
      <c r="K852" s="3"/>
      <c r="L852" s="3"/>
      <c r="O852" s="11"/>
      <c r="P852" s="3"/>
      <c r="Q852" s="9"/>
    </row>
    <row r="853" spans="2:17" x14ac:dyDescent="0.25">
      <c r="B853" s="1"/>
      <c r="E853" s="3"/>
      <c r="F853" s="3"/>
      <c r="G853" s="3"/>
      <c r="H853" s="3"/>
      <c r="K853" s="3"/>
      <c r="L853" s="3"/>
      <c r="O853" s="11"/>
      <c r="P853" s="3"/>
      <c r="Q853" s="9"/>
    </row>
    <row r="854" spans="2:17" x14ac:dyDescent="0.25">
      <c r="B854" s="1"/>
      <c r="E854" s="3"/>
      <c r="F854" s="3"/>
      <c r="G854" s="3"/>
      <c r="H854" s="3"/>
      <c r="K854" s="3"/>
      <c r="L854" s="3"/>
      <c r="O854" s="11"/>
      <c r="P854" s="3"/>
      <c r="Q854" s="9"/>
    </row>
    <row r="855" spans="2:17" x14ac:dyDescent="0.25">
      <c r="B855" s="1"/>
      <c r="E855" s="3"/>
      <c r="F855" s="3"/>
      <c r="G855" s="3"/>
      <c r="H855" s="3"/>
      <c r="K855" s="3"/>
      <c r="L855" s="3"/>
      <c r="O855" s="11"/>
      <c r="P855" s="3"/>
      <c r="Q855" s="9"/>
    </row>
    <row r="856" spans="2:17" x14ac:dyDescent="0.25">
      <c r="B856" s="1"/>
      <c r="E856" s="3"/>
      <c r="F856" s="3"/>
      <c r="G856" s="3"/>
      <c r="H856" s="3"/>
      <c r="K856" s="3"/>
      <c r="L856" s="3"/>
      <c r="O856" s="11"/>
      <c r="P856" s="3"/>
      <c r="Q856" s="9"/>
    </row>
    <row r="857" spans="2:17" x14ac:dyDescent="0.25">
      <c r="B857" s="1"/>
      <c r="E857" s="3"/>
      <c r="F857" s="3"/>
      <c r="G857" s="3"/>
      <c r="H857" s="3"/>
      <c r="K857" s="3"/>
      <c r="L857" s="3"/>
      <c r="O857" s="11"/>
      <c r="P857" s="3"/>
      <c r="Q857" s="9"/>
    </row>
    <row r="858" spans="2:17" x14ac:dyDescent="0.25">
      <c r="B858" s="1"/>
      <c r="E858" s="3"/>
      <c r="F858" s="3"/>
      <c r="G858" s="3"/>
      <c r="H858" s="3"/>
      <c r="K858" s="3"/>
      <c r="L858" s="3"/>
      <c r="O858" s="11"/>
      <c r="P858" s="3"/>
      <c r="Q858" s="9"/>
    </row>
    <row r="859" spans="2:17" x14ac:dyDescent="0.25">
      <c r="B859" s="1"/>
      <c r="E859" s="3"/>
      <c r="F859" s="3"/>
      <c r="G859" s="3"/>
      <c r="H859" s="3"/>
      <c r="K859" s="3"/>
      <c r="L859" s="3"/>
      <c r="O859" s="11"/>
      <c r="P859" s="3"/>
      <c r="Q859" s="9"/>
    </row>
    <row r="860" spans="2:17" x14ac:dyDescent="0.25">
      <c r="B860" s="1"/>
      <c r="E860" s="3"/>
      <c r="F860" s="3"/>
      <c r="G860" s="3"/>
      <c r="H860" s="3"/>
      <c r="K860" s="3"/>
      <c r="L860" s="3"/>
      <c r="O860" s="11"/>
      <c r="P860" s="3"/>
      <c r="Q860" s="9"/>
    </row>
    <row r="861" spans="2:17" x14ac:dyDescent="0.25">
      <c r="B861" s="1"/>
      <c r="E861" s="3"/>
      <c r="F861" s="3"/>
      <c r="G861" s="3"/>
      <c r="H861" s="3"/>
      <c r="K861" s="3"/>
      <c r="L861" s="3"/>
      <c r="O861" s="11"/>
      <c r="P861" s="3"/>
      <c r="Q861" s="9"/>
    </row>
    <row r="862" spans="2:17" x14ac:dyDescent="0.25">
      <c r="B862" s="1"/>
      <c r="E862" s="3"/>
      <c r="F862" s="3"/>
      <c r="G862" s="3"/>
      <c r="H862" s="3"/>
      <c r="K862" s="3"/>
      <c r="L862" s="3"/>
      <c r="O862" s="11"/>
      <c r="P862" s="3"/>
      <c r="Q862" s="9"/>
    </row>
    <row r="863" spans="2:17" x14ac:dyDescent="0.25">
      <c r="B863" s="1"/>
      <c r="E863" s="3"/>
      <c r="F863" s="3"/>
      <c r="G863" s="3"/>
      <c r="H863" s="3"/>
      <c r="K863" s="3"/>
      <c r="L863" s="3"/>
      <c r="O863" s="11"/>
      <c r="P863" s="3"/>
      <c r="Q863" s="9"/>
    </row>
    <row r="864" spans="2:17" x14ac:dyDescent="0.25">
      <c r="B864" s="1"/>
      <c r="E864" s="3"/>
      <c r="F864" s="3"/>
      <c r="G864" s="3"/>
      <c r="H864" s="3"/>
      <c r="K864" s="3"/>
      <c r="L864" s="3"/>
      <c r="O864" s="11"/>
      <c r="P864" s="3"/>
      <c r="Q864" s="9"/>
    </row>
    <row r="865" spans="2:17" x14ac:dyDescent="0.25">
      <c r="B865" s="1"/>
      <c r="E865" s="3"/>
      <c r="F865" s="3"/>
      <c r="G865" s="3"/>
      <c r="H865" s="3"/>
      <c r="K865" s="3"/>
      <c r="L865" s="3"/>
      <c r="O865" s="11"/>
      <c r="P865" s="3"/>
      <c r="Q865" s="9"/>
    </row>
    <row r="866" spans="2:17" x14ac:dyDescent="0.25">
      <c r="B866" s="1"/>
      <c r="E866" s="3"/>
      <c r="F866" s="3"/>
      <c r="G866" s="3"/>
      <c r="H866" s="3"/>
      <c r="K866" s="3"/>
      <c r="L866" s="3"/>
      <c r="O866" s="11"/>
      <c r="P866" s="3"/>
      <c r="Q866" s="9"/>
    </row>
    <row r="867" spans="2:17" x14ac:dyDescent="0.25">
      <c r="B867" s="1"/>
      <c r="E867" s="3"/>
      <c r="F867" s="3"/>
      <c r="G867" s="3"/>
      <c r="H867" s="3"/>
      <c r="K867" s="3"/>
      <c r="L867" s="3"/>
      <c r="O867" s="11"/>
      <c r="P867" s="3"/>
      <c r="Q867" s="9"/>
    </row>
    <row r="868" spans="2:17" x14ac:dyDescent="0.25">
      <c r="B868" s="1"/>
      <c r="E868" s="3"/>
      <c r="F868" s="3"/>
      <c r="G868" s="3"/>
      <c r="H868" s="3"/>
      <c r="K868" s="3"/>
      <c r="L868" s="3"/>
      <c r="O868" s="11"/>
      <c r="P868" s="3"/>
      <c r="Q868" s="9"/>
    </row>
    <row r="869" spans="2:17" x14ac:dyDescent="0.25">
      <c r="B869" s="1"/>
      <c r="E869" s="3"/>
      <c r="F869" s="3"/>
      <c r="G869" s="3"/>
      <c r="H869" s="3"/>
      <c r="K869" s="3"/>
      <c r="L869" s="3"/>
      <c r="O869" s="11"/>
      <c r="P869" s="3"/>
      <c r="Q869" s="9"/>
    </row>
    <row r="870" spans="2:17" x14ac:dyDescent="0.25">
      <c r="B870" s="1"/>
      <c r="E870" s="3"/>
      <c r="F870" s="3"/>
      <c r="G870" s="3"/>
      <c r="H870" s="3"/>
      <c r="K870" s="3"/>
      <c r="L870" s="3"/>
      <c r="O870" s="11"/>
      <c r="P870" s="3"/>
      <c r="Q870" s="9"/>
    </row>
    <row r="871" spans="2:17" x14ac:dyDescent="0.25">
      <c r="B871" s="1"/>
      <c r="E871" s="3"/>
      <c r="F871" s="3"/>
      <c r="G871" s="3"/>
      <c r="H871" s="3"/>
      <c r="K871" s="3"/>
      <c r="L871" s="3"/>
      <c r="O871" s="11"/>
      <c r="P871" s="3"/>
      <c r="Q871" s="9"/>
    </row>
    <row r="872" spans="2:17" x14ac:dyDescent="0.25">
      <c r="B872" s="1"/>
      <c r="E872" s="3"/>
      <c r="F872" s="3"/>
      <c r="G872" s="3"/>
      <c r="H872" s="3"/>
      <c r="K872" s="3"/>
      <c r="L872" s="3"/>
      <c r="O872" s="11"/>
      <c r="P872" s="3"/>
      <c r="Q872" s="9"/>
    </row>
    <row r="873" spans="2:17" x14ac:dyDescent="0.25">
      <c r="B873" s="1"/>
      <c r="E873" s="3"/>
      <c r="F873" s="3"/>
      <c r="G873" s="3"/>
      <c r="H873" s="3"/>
      <c r="K873" s="3"/>
      <c r="L873" s="3"/>
      <c r="O873" s="11"/>
      <c r="P873" s="3"/>
      <c r="Q873" s="9"/>
    </row>
    <row r="874" spans="2:17" x14ac:dyDescent="0.25">
      <c r="B874" s="1"/>
      <c r="E874" s="3"/>
      <c r="F874" s="3"/>
      <c r="G874" s="3"/>
      <c r="H874" s="3"/>
      <c r="K874" s="3"/>
      <c r="L874" s="3"/>
      <c r="O874" s="11"/>
      <c r="P874" s="3"/>
      <c r="Q874" s="9"/>
    </row>
    <row r="875" spans="2:17" x14ac:dyDescent="0.25">
      <c r="B875" s="1"/>
      <c r="E875" s="3"/>
      <c r="F875" s="3"/>
      <c r="G875" s="3"/>
      <c r="H875" s="3"/>
      <c r="K875" s="3"/>
      <c r="L875" s="3"/>
      <c r="O875" s="11"/>
      <c r="P875" s="3"/>
      <c r="Q875" s="9"/>
    </row>
    <row r="876" spans="2:17" x14ac:dyDescent="0.25">
      <c r="B876" s="1"/>
      <c r="E876" s="3"/>
      <c r="F876" s="3"/>
      <c r="G876" s="3"/>
      <c r="H876" s="3"/>
      <c r="K876" s="3"/>
      <c r="L876" s="3"/>
      <c r="O876" s="11"/>
      <c r="P876" s="3"/>
      <c r="Q876" s="9"/>
    </row>
    <row r="877" spans="2:17" x14ac:dyDescent="0.25">
      <c r="B877" s="1"/>
      <c r="E877" s="3"/>
      <c r="F877" s="3"/>
      <c r="G877" s="3"/>
      <c r="H877" s="3"/>
      <c r="K877" s="3"/>
      <c r="L877" s="3"/>
      <c r="O877" s="11"/>
      <c r="P877" s="3"/>
      <c r="Q877" s="9"/>
    </row>
    <row r="878" spans="2:17" x14ac:dyDescent="0.25">
      <c r="B878" s="1"/>
      <c r="E878" s="3"/>
      <c r="F878" s="3"/>
      <c r="G878" s="3"/>
      <c r="H878" s="3"/>
      <c r="K878" s="3"/>
      <c r="L878" s="3"/>
      <c r="O878" s="11"/>
      <c r="P878" s="3"/>
      <c r="Q878" s="9"/>
    </row>
    <row r="879" spans="2:17" x14ac:dyDescent="0.25">
      <c r="B879" s="1"/>
      <c r="E879" s="3"/>
      <c r="F879" s="3"/>
      <c r="G879" s="3"/>
      <c r="H879" s="3"/>
      <c r="K879" s="3"/>
      <c r="L879" s="3"/>
      <c r="O879" s="11"/>
      <c r="P879" s="3"/>
      <c r="Q879" s="9"/>
    </row>
    <row r="880" spans="2:17" x14ac:dyDescent="0.25">
      <c r="B880" s="1"/>
      <c r="E880" s="3"/>
      <c r="F880" s="3"/>
      <c r="G880" s="3"/>
      <c r="H880" s="3"/>
      <c r="K880" s="3"/>
      <c r="L880" s="3"/>
      <c r="O880" s="11"/>
      <c r="P880" s="3"/>
      <c r="Q880" s="9"/>
    </row>
    <row r="881" spans="2:17" x14ac:dyDescent="0.25">
      <c r="B881" s="1"/>
      <c r="E881" s="3"/>
      <c r="F881" s="3"/>
      <c r="G881" s="3"/>
      <c r="H881" s="3"/>
      <c r="K881" s="3"/>
      <c r="L881" s="3"/>
      <c r="O881" s="11"/>
      <c r="P881" s="3"/>
      <c r="Q881" s="9"/>
    </row>
    <row r="882" spans="2:17" x14ac:dyDescent="0.25">
      <c r="B882" s="1"/>
      <c r="E882" s="3"/>
      <c r="F882" s="3"/>
      <c r="G882" s="3"/>
      <c r="H882" s="3"/>
      <c r="K882" s="3"/>
      <c r="L882" s="3"/>
      <c r="O882" s="11"/>
      <c r="P882" s="3"/>
      <c r="Q882" s="9"/>
    </row>
    <row r="883" spans="2:17" x14ac:dyDescent="0.25">
      <c r="B883" s="1"/>
      <c r="E883" s="3"/>
      <c r="F883" s="3"/>
      <c r="G883" s="3"/>
      <c r="H883" s="3"/>
      <c r="K883" s="3"/>
      <c r="L883" s="3"/>
      <c r="O883" s="11"/>
      <c r="P883" s="3"/>
      <c r="Q883" s="9"/>
    </row>
    <row r="884" spans="2:17" x14ac:dyDescent="0.25">
      <c r="B884" s="1"/>
      <c r="E884" s="3"/>
      <c r="F884" s="3"/>
      <c r="G884" s="3"/>
      <c r="H884" s="3"/>
      <c r="K884" s="3"/>
      <c r="L884" s="3"/>
      <c r="O884" s="11"/>
      <c r="P884" s="3"/>
      <c r="Q884" s="9"/>
    </row>
    <row r="885" spans="2:17" x14ac:dyDescent="0.25">
      <c r="B885" s="1"/>
      <c r="E885" s="3"/>
      <c r="F885" s="3"/>
      <c r="G885" s="3"/>
      <c r="H885" s="3"/>
      <c r="K885" s="3"/>
      <c r="L885" s="3"/>
      <c r="O885" s="11"/>
      <c r="P885" s="3"/>
      <c r="Q885" s="9"/>
    </row>
    <row r="886" spans="2:17" x14ac:dyDescent="0.25">
      <c r="B886" s="1"/>
      <c r="E886" s="3"/>
      <c r="F886" s="3"/>
      <c r="G886" s="3"/>
      <c r="H886" s="3"/>
      <c r="K886" s="3"/>
      <c r="L886" s="3"/>
      <c r="O886" s="11"/>
      <c r="P886" s="3"/>
      <c r="Q886" s="9"/>
    </row>
    <row r="887" spans="2:17" x14ac:dyDescent="0.25">
      <c r="B887" s="1"/>
      <c r="E887" s="3"/>
      <c r="F887" s="3"/>
      <c r="G887" s="3"/>
      <c r="H887" s="3"/>
      <c r="K887" s="3"/>
      <c r="L887" s="3"/>
      <c r="O887" s="11"/>
      <c r="P887" s="3"/>
      <c r="Q887" s="9"/>
    </row>
    <row r="888" spans="2:17" x14ac:dyDescent="0.25">
      <c r="B888" s="1"/>
      <c r="E888" s="3"/>
      <c r="F888" s="3"/>
      <c r="G888" s="3"/>
      <c r="H888" s="3"/>
      <c r="K888" s="3"/>
      <c r="L888" s="3"/>
      <c r="O888" s="11"/>
      <c r="P888" s="3"/>
      <c r="Q888" s="9"/>
    </row>
    <row r="889" spans="2:17" x14ac:dyDescent="0.25">
      <c r="B889" s="1"/>
      <c r="E889" s="3"/>
      <c r="F889" s="3"/>
      <c r="G889" s="3"/>
      <c r="H889" s="3"/>
      <c r="K889" s="3"/>
      <c r="L889" s="3"/>
      <c r="O889" s="11"/>
      <c r="P889" s="3"/>
      <c r="Q889" s="9"/>
    </row>
    <row r="890" spans="2:17" x14ac:dyDescent="0.25">
      <c r="B890" s="1"/>
      <c r="E890" s="3"/>
      <c r="F890" s="3"/>
      <c r="G890" s="3"/>
      <c r="H890" s="3"/>
      <c r="K890" s="3"/>
      <c r="L890" s="3"/>
      <c r="O890" s="11"/>
      <c r="P890" s="3"/>
      <c r="Q890" s="9"/>
    </row>
    <row r="891" spans="2:17" x14ac:dyDescent="0.25">
      <c r="B891" s="1"/>
      <c r="E891" s="3"/>
      <c r="F891" s="3"/>
      <c r="G891" s="3"/>
      <c r="H891" s="3"/>
      <c r="K891" s="3"/>
      <c r="L891" s="3"/>
      <c r="O891" s="11"/>
      <c r="P891" s="3"/>
      <c r="Q891" s="9"/>
    </row>
    <row r="892" spans="2:17" x14ac:dyDescent="0.25">
      <c r="B892" s="1"/>
      <c r="E892" s="3"/>
      <c r="F892" s="3"/>
      <c r="G892" s="3"/>
      <c r="H892" s="3"/>
      <c r="K892" s="3"/>
      <c r="L892" s="3"/>
      <c r="O892" s="11"/>
      <c r="P892" s="3"/>
      <c r="Q892" s="9"/>
    </row>
    <row r="893" spans="2:17" x14ac:dyDescent="0.25">
      <c r="B893" s="1"/>
      <c r="E893" s="3"/>
      <c r="F893" s="3"/>
      <c r="G893" s="3"/>
      <c r="H893" s="3"/>
      <c r="K893" s="3"/>
      <c r="L893" s="3"/>
      <c r="O893" s="11"/>
      <c r="P893" s="3"/>
      <c r="Q893" s="9"/>
    </row>
    <row r="894" spans="2:17" x14ac:dyDescent="0.25">
      <c r="B894" s="1"/>
      <c r="E894" s="3"/>
      <c r="F894" s="3"/>
      <c r="G894" s="3"/>
      <c r="H894" s="3"/>
      <c r="K894" s="3"/>
      <c r="L894" s="3"/>
      <c r="O894" s="11"/>
      <c r="P894" s="3"/>
      <c r="Q894" s="9"/>
    </row>
    <row r="895" spans="2:17" x14ac:dyDescent="0.25">
      <c r="B895" s="1"/>
      <c r="E895" s="3"/>
      <c r="F895" s="3"/>
      <c r="G895" s="3"/>
      <c r="H895" s="3"/>
      <c r="K895" s="3"/>
      <c r="L895" s="3"/>
      <c r="O895" s="11"/>
      <c r="P895" s="3"/>
      <c r="Q895" s="9"/>
    </row>
    <row r="896" spans="2:17" x14ac:dyDescent="0.25">
      <c r="B896" s="1"/>
      <c r="E896" s="3"/>
      <c r="F896" s="3"/>
      <c r="G896" s="3"/>
      <c r="H896" s="3"/>
      <c r="K896" s="3"/>
      <c r="L896" s="3"/>
      <c r="O896" s="11"/>
      <c r="P896" s="3"/>
      <c r="Q896" s="9"/>
    </row>
    <row r="897" spans="2:17" x14ac:dyDescent="0.25">
      <c r="B897" s="1"/>
      <c r="E897" s="3"/>
      <c r="F897" s="3"/>
      <c r="G897" s="3"/>
      <c r="H897" s="3"/>
      <c r="K897" s="3"/>
      <c r="L897" s="3"/>
      <c r="O897" s="11"/>
      <c r="P897" s="3"/>
      <c r="Q897" s="9"/>
    </row>
    <row r="898" spans="2:17" x14ac:dyDescent="0.25">
      <c r="B898" s="1"/>
      <c r="E898" s="3"/>
      <c r="F898" s="3"/>
      <c r="G898" s="3"/>
      <c r="H898" s="3"/>
      <c r="K898" s="3"/>
      <c r="L898" s="3"/>
      <c r="O898" s="11"/>
      <c r="P898" s="3"/>
      <c r="Q898" s="9"/>
    </row>
    <row r="899" spans="2:17" x14ac:dyDescent="0.25">
      <c r="B899" s="1"/>
      <c r="E899" s="3"/>
      <c r="F899" s="3"/>
      <c r="G899" s="3"/>
      <c r="H899" s="3"/>
      <c r="K899" s="3"/>
      <c r="L899" s="3"/>
      <c r="O899" s="11"/>
      <c r="P899" s="3"/>
      <c r="Q899" s="9"/>
    </row>
    <row r="900" spans="2:17" x14ac:dyDescent="0.25">
      <c r="B900" s="1"/>
      <c r="E900" s="3"/>
      <c r="F900" s="3"/>
      <c r="G900" s="3"/>
      <c r="H900" s="3"/>
      <c r="K900" s="3"/>
      <c r="L900" s="3"/>
      <c r="O900" s="11"/>
      <c r="P900" s="3"/>
      <c r="Q900" s="9"/>
    </row>
    <row r="901" spans="2:17" x14ac:dyDescent="0.25">
      <c r="B901" s="1"/>
      <c r="E901" s="3"/>
      <c r="F901" s="3"/>
      <c r="G901" s="3"/>
      <c r="H901" s="3"/>
      <c r="K901" s="3"/>
      <c r="L901" s="3"/>
      <c r="O901" s="11"/>
      <c r="P901" s="3"/>
      <c r="Q901" s="9"/>
    </row>
    <row r="902" spans="2:17" x14ac:dyDescent="0.25">
      <c r="B902" s="1"/>
      <c r="E902" s="3"/>
      <c r="F902" s="3"/>
      <c r="G902" s="3"/>
      <c r="H902" s="3"/>
      <c r="K902" s="3"/>
      <c r="L902" s="3"/>
      <c r="O902" s="11"/>
      <c r="P902" s="3"/>
      <c r="Q902" s="9"/>
    </row>
    <row r="903" spans="2:17" x14ac:dyDescent="0.25">
      <c r="B903" s="1"/>
      <c r="E903" s="3"/>
      <c r="F903" s="3"/>
      <c r="G903" s="3"/>
      <c r="H903" s="3"/>
      <c r="K903" s="3"/>
      <c r="L903" s="3"/>
      <c r="O903" s="11"/>
      <c r="P903" s="3"/>
      <c r="Q903" s="9"/>
    </row>
    <row r="904" spans="2:17" x14ac:dyDescent="0.25">
      <c r="B904" s="1"/>
      <c r="E904" s="3"/>
      <c r="F904" s="3"/>
      <c r="G904" s="3"/>
      <c r="H904" s="3"/>
      <c r="K904" s="3"/>
      <c r="L904" s="3"/>
      <c r="O904" s="11"/>
      <c r="P904" s="3"/>
      <c r="Q904" s="9"/>
    </row>
    <row r="905" spans="2:17" x14ac:dyDescent="0.25">
      <c r="B905" s="1"/>
      <c r="E905" s="3"/>
      <c r="F905" s="3"/>
      <c r="G905" s="3"/>
      <c r="H905" s="3"/>
      <c r="K905" s="3"/>
      <c r="L905" s="3"/>
      <c r="O905" s="11"/>
      <c r="P905" s="3"/>
      <c r="Q905" s="9"/>
    </row>
    <row r="906" spans="2:17" x14ac:dyDescent="0.25">
      <c r="B906" s="1"/>
      <c r="E906" s="3"/>
      <c r="F906" s="3"/>
      <c r="G906" s="3"/>
      <c r="H906" s="3"/>
      <c r="K906" s="3"/>
      <c r="L906" s="3"/>
      <c r="O906" s="11"/>
      <c r="P906" s="3"/>
      <c r="Q906" s="9"/>
    </row>
    <row r="907" spans="2:17" x14ac:dyDescent="0.25">
      <c r="B907" s="1"/>
      <c r="E907" s="3"/>
      <c r="F907" s="3"/>
      <c r="G907" s="3"/>
      <c r="H907" s="3"/>
      <c r="K907" s="3"/>
      <c r="L907" s="3"/>
      <c r="O907" s="11"/>
      <c r="P907" s="3"/>
      <c r="Q907" s="9"/>
    </row>
    <row r="908" spans="2:17" x14ac:dyDescent="0.25">
      <c r="B908" s="1"/>
      <c r="E908" s="3"/>
      <c r="F908" s="3"/>
      <c r="G908" s="3"/>
      <c r="H908" s="3"/>
      <c r="K908" s="3"/>
      <c r="L908" s="3"/>
      <c r="O908" s="11"/>
      <c r="P908" s="3"/>
      <c r="Q908" s="9"/>
    </row>
    <row r="909" spans="2:17" x14ac:dyDescent="0.25">
      <c r="B909" s="1"/>
      <c r="E909" s="3"/>
      <c r="F909" s="3"/>
      <c r="G909" s="3"/>
      <c r="H909" s="3"/>
      <c r="K909" s="3"/>
      <c r="L909" s="3"/>
      <c r="O909" s="11"/>
      <c r="P909" s="3"/>
      <c r="Q909" s="9"/>
    </row>
    <row r="910" spans="2:17" x14ac:dyDescent="0.25">
      <c r="B910" s="1"/>
      <c r="E910" s="3"/>
      <c r="F910" s="3"/>
      <c r="G910" s="3"/>
      <c r="H910" s="3"/>
      <c r="K910" s="3"/>
      <c r="L910" s="3"/>
      <c r="O910" s="11"/>
      <c r="P910" s="3"/>
      <c r="Q910" s="9"/>
    </row>
    <row r="911" spans="2:17" x14ac:dyDescent="0.25">
      <c r="B911" s="1"/>
      <c r="E911" s="3"/>
      <c r="F911" s="3"/>
      <c r="G911" s="3"/>
      <c r="H911" s="3"/>
      <c r="K911" s="3"/>
      <c r="L911" s="3"/>
      <c r="O911" s="11"/>
      <c r="P911" s="3"/>
      <c r="Q911" s="9"/>
    </row>
    <row r="912" spans="2:17" x14ac:dyDescent="0.25">
      <c r="B912" s="1"/>
      <c r="E912" s="3"/>
      <c r="F912" s="3"/>
      <c r="G912" s="3"/>
      <c r="H912" s="3"/>
      <c r="K912" s="3"/>
      <c r="L912" s="3"/>
      <c r="O912" s="11"/>
      <c r="P912" s="3"/>
      <c r="Q912" s="9"/>
    </row>
    <row r="913" spans="2:17" x14ac:dyDescent="0.25">
      <c r="B913" s="1"/>
      <c r="E913" s="3"/>
      <c r="F913" s="3"/>
      <c r="G913" s="3"/>
      <c r="H913" s="3"/>
      <c r="K913" s="3"/>
      <c r="L913" s="3"/>
      <c r="O913" s="11"/>
      <c r="P913" s="3"/>
      <c r="Q913" s="9"/>
    </row>
    <row r="914" spans="2:17" x14ac:dyDescent="0.25">
      <c r="B914" s="1"/>
      <c r="E914" s="3"/>
      <c r="F914" s="3"/>
      <c r="G914" s="3"/>
      <c r="H914" s="3"/>
      <c r="K914" s="3"/>
      <c r="L914" s="3"/>
      <c r="O914" s="11"/>
      <c r="P914" s="3"/>
      <c r="Q914" s="9"/>
    </row>
    <row r="915" spans="2:17" x14ac:dyDescent="0.25">
      <c r="B915" s="1"/>
      <c r="E915" s="3"/>
      <c r="F915" s="3"/>
      <c r="G915" s="3"/>
      <c r="H915" s="3"/>
      <c r="K915" s="3"/>
      <c r="L915" s="3"/>
      <c r="O915" s="11"/>
      <c r="P915" s="3"/>
      <c r="Q915" s="9"/>
    </row>
    <row r="916" spans="2:17" x14ac:dyDescent="0.25">
      <c r="B916" s="1"/>
      <c r="E916" s="3"/>
      <c r="F916" s="3"/>
      <c r="G916" s="3"/>
      <c r="H916" s="3"/>
      <c r="K916" s="3"/>
      <c r="L916" s="3"/>
      <c r="O916" s="11"/>
      <c r="P916" s="3"/>
      <c r="Q916" s="9"/>
    </row>
    <row r="917" spans="2:17" x14ac:dyDescent="0.25">
      <c r="B917" s="1"/>
      <c r="E917" s="3"/>
      <c r="F917" s="3"/>
      <c r="G917" s="3"/>
      <c r="H917" s="3"/>
      <c r="K917" s="3"/>
      <c r="L917" s="3"/>
      <c r="O917" s="11"/>
      <c r="P917" s="3"/>
      <c r="Q917" s="9"/>
    </row>
    <row r="918" spans="2:17" x14ac:dyDescent="0.25">
      <c r="B918" s="1"/>
      <c r="E918" s="3"/>
      <c r="F918" s="3"/>
      <c r="G918" s="3"/>
      <c r="H918" s="3"/>
      <c r="K918" s="3"/>
      <c r="L918" s="3"/>
      <c r="O918" s="11"/>
      <c r="P918" s="3"/>
      <c r="Q918" s="9"/>
    </row>
    <row r="919" spans="2:17" x14ac:dyDescent="0.25">
      <c r="B919" s="1"/>
      <c r="E919" s="3"/>
      <c r="F919" s="3"/>
      <c r="G919" s="3"/>
      <c r="H919" s="3"/>
      <c r="K919" s="3"/>
      <c r="L919" s="3"/>
      <c r="O919" s="11"/>
      <c r="P919" s="3"/>
      <c r="Q919" s="9"/>
    </row>
    <row r="920" spans="2:17" x14ac:dyDescent="0.25">
      <c r="B920" s="1"/>
      <c r="E920" s="3"/>
      <c r="F920" s="3"/>
      <c r="G920" s="3"/>
      <c r="H920" s="3"/>
      <c r="K920" s="3"/>
      <c r="L920" s="3"/>
      <c r="O920" s="11"/>
      <c r="P920" s="3"/>
      <c r="Q920" s="9"/>
    </row>
    <row r="921" spans="2:17" x14ac:dyDescent="0.25">
      <c r="B921" s="1"/>
      <c r="E921" s="3"/>
      <c r="F921" s="3"/>
      <c r="G921" s="3"/>
      <c r="H921" s="3"/>
      <c r="K921" s="3"/>
      <c r="L921" s="3"/>
      <c r="O921" s="11"/>
      <c r="P921" s="3"/>
      <c r="Q921" s="9"/>
    </row>
    <row r="922" spans="2:17" x14ac:dyDescent="0.25">
      <c r="B922" s="1"/>
      <c r="E922" s="3"/>
      <c r="F922" s="3"/>
      <c r="G922" s="3"/>
      <c r="H922" s="3"/>
      <c r="K922" s="3"/>
      <c r="L922" s="3"/>
      <c r="O922" s="11"/>
      <c r="P922" s="3"/>
      <c r="Q922" s="9"/>
    </row>
    <row r="923" spans="2:17" x14ac:dyDescent="0.25">
      <c r="B923" s="1"/>
      <c r="E923" s="3"/>
      <c r="F923" s="3"/>
      <c r="G923" s="3"/>
      <c r="H923" s="3"/>
      <c r="K923" s="3"/>
      <c r="L923" s="3"/>
      <c r="O923" s="11"/>
      <c r="P923" s="3"/>
      <c r="Q923" s="9"/>
    </row>
    <row r="924" spans="2:17" x14ac:dyDescent="0.25">
      <c r="B924" s="1"/>
      <c r="E924" s="3"/>
      <c r="F924" s="3"/>
      <c r="G924" s="3"/>
      <c r="H924" s="3"/>
      <c r="K924" s="3"/>
      <c r="L924" s="3"/>
      <c r="O924" s="11"/>
      <c r="P924" s="3"/>
      <c r="Q924" s="9"/>
    </row>
    <row r="925" spans="2:17" x14ac:dyDescent="0.25">
      <c r="B925" s="1"/>
      <c r="E925" s="3"/>
      <c r="F925" s="3"/>
      <c r="G925" s="3"/>
      <c r="H925" s="3"/>
      <c r="K925" s="3"/>
      <c r="L925" s="3"/>
      <c r="O925" s="11"/>
      <c r="P925" s="3"/>
      <c r="Q925" s="9"/>
    </row>
    <row r="926" spans="2:17" x14ac:dyDescent="0.25">
      <c r="B926" s="1"/>
      <c r="E926" s="3"/>
      <c r="F926" s="3"/>
      <c r="G926" s="3"/>
      <c r="H926" s="3"/>
      <c r="K926" s="3"/>
      <c r="L926" s="3"/>
      <c r="O926" s="11"/>
      <c r="P926" s="3"/>
      <c r="Q926" s="9"/>
    </row>
    <row r="927" spans="2:17" x14ac:dyDescent="0.25">
      <c r="B927" s="1"/>
      <c r="E927" s="3"/>
      <c r="F927" s="3"/>
      <c r="G927" s="3"/>
      <c r="H927" s="3"/>
      <c r="K927" s="3"/>
      <c r="L927" s="3"/>
      <c r="O927" s="11"/>
      <c r="P927" s="3"/>
      <c r="Q927" s="9"/>
    </row>
    <row r="928" spans="2:17" x14ac:dyDescent="0.25">
      <c r="B928" s="1"/>
      <c r="E928" s="3"/>
      <c r="F928" s="3"/>
      <c r="G928" s="3"/>
      <c r="H928" s="3"/>
      <c r="K928" s="3"/>
      <c r="L928" s="3"/>
      <c r="O928" s="11"/>
      <c r="P928" s="3"/>
      <c r="Q928" s="9"/>
    </row>
    <row r="929" spans="2:17" x14ac:dyDescent="0.25">
      <c r="B929" s="1"/>
      <c r="E929" s="3"/>
      <c r="F929" s="3"/>
      <c r="G929" s="3"/>
      <c r="H929" s="3"/>
      <c r="K929" s="3"/>
      <c r="L929" s="3"/>
      <c r="O929" s="11"/>
      <c r="P929" s="3"/>
      <c r="Q929" s="9"/>
    </row>
    <row r="930" spans="2:17" x14ac:dyDescent="0.25">
      <c r="B930" s="1"/>
      <c r="E930" s="3"/>
      <c r="F930" s="3"/>
      <c r="G930" s="3"/>
      <c r="H930" s="3"/>
      <c r="K930" s="3"/>
      <c r="L930" s="3"/>
      <c r="O930" s="11"/>
      <c r="P930" s="3"/>
      <c r="Q930" s="9"/>
    </row>
    <row r="931" spans="2:17" x14ac:dyDescent="0.25">
      <c r="B931" s="1"/>
      <c r="E931" s="3"/>
      <c r="F931" s="3"/>
      <c r="G931" s="3"/>
      <c r="H931" s="3"/>
      <c r="K931" s="3"/>
      <c r="L931" s="3"/>
      <c r="O931" s="11"/>
      <c r="P931" s="3"/>
      <c r="Q931" s="9"/>
    </row>
    <row r="932" spans="2:17" x14ac:dyDescent="0.25">
      <c r="B932" s="1"/>
      <c r="E932" s="3"/>
      <c r="F932" s="3"/>
      <c r="G932" s="3"/>
      <c r="H932" s="3"/>
      <c r="K932" s="3"/>
      <c r="L932" s="3"/>
      <c r="O932" s="11"/>
      <c r="P932" s="3"/>
      <c r="Q932" s="9"/>
    </row>
    <row r="933" spans="2:17" x14ac:dyDescent="0.25">
      <c r="B933" s="1"/>
      <c r="E933" s="3"/>
      <c r="F933" s="3"/>
      <c r="G933" s="3"/>
      <c r="H933" s="3"/>
      <c r="K933" s="3"/>
      <c r="L933" s="3"/>
      <c r="O933" s="11"/>
      <c r="P933" s="3"/>
      <c r="Q933" s="9"/>
    </row>
    <row r="934" spans="2:17" x14ac:dyDescent="0.25">
      <c r="B934" s="1"/>
      <c r="E934" s="3"/>
      <c r="F934" s="3"/>
      <c r="G934" s="3"/>
      <c r="H934" s="3"/>
      <c r="K934" s="3"/>
      <c r="L934" s="3"/>
      <c r="O934" s="11"/>
      <c r="P934" s="3"/>
      <c r="Q934" s="9"/>
    </row>
    <row r="935" spans="2:17" x14ac:dyDescent="0.25">
      <c r="B935" s="1"/>
      <c r="E935" s="3"/>
      <c r="F935" s="3"/>
      <c r="G935" s="3"/>
      <c r="H935" s="3"/>
      <c r="K935" s="3"/>
      <c r="L935" s="3"/>
      <c r="O935" s="11"/>
      <c r="P935" s="3"/>
      <c r="Q935" s="9"/>
    </row>
    <row r="936" spans="2:17" x14ac:dyDescent="0.25">
      <c r="B936" s="1"/>
      <c r="E936" s="3"/>
      <c r="F936" s="3"/>
      <c r="G936" s="3"/>
      <c r="H936" s="3"/>
      <c r="K936" s="3"/>
      <c r="L936" s="3"/>
      <c r="O936" s="11"/>
      <c r="P936" s="3"/>
      <c r="Q936" s="9"/>
    </row>
    <row r="937" spans="2:17" x14ac:dyDescent="0.25">
      <c r="B937" s="1"/>
      <c r="E937" s="3"/>
      <c r="F937" s="3"/>
      <c r="G937" s="3"/>
      <c r="H937" s="3"/>
      <c r="K937" s="3"/>
      <c r="L937" s="3"/>
      <c r="O937" s="11"/>
      <c r="P937" s="3"/>
      <c r="Q937" s="9"/>
    </row>
    <row r="938" spans="2:17" x14ac:dyDescent="0.25">
      <c r="B938" s="1"/>
      <c r="E938" s="3"/>
      <c r="F938" s="3"/>
      <c r="G938" s="3"/>
      <c r="H938" s="3"/>
      <c r="K938" s="3"/>
      <c r="L938" s="3"/>
      <c r="O938" s="11"/>
      <c r="P938" s="3"/>
      <c r="Q938" s="9"/>
    </row>
    <row r="939" spans="2:17" x14ac:dyDescent="0.25">
      <c r="B939" s="1"/>
      <c r="E939" s="3"/>
      <c r="F939" s="3"/>
      <c r="G939" s="3"/>
      <c r="H939" s="3"/>
      <c r="K939" s="3"/>
      <c r="L939" s="3"/>
      <c r="O939" s="11"/>
      <c r="P939" s="3"/>
      <c r="Q939" s="9"/>
    </row>
    <row r="940" spans="2:17" x14ac:dyDescent="0.25">
      <c r="B940" s="1"/>
      <c r="E940" s="3"/>
      <c r="F940" s="3"/>
      <c r="G940" s="3"/>
      <c r="H940" s="3"/>
      <c r="K940" s="3"/>
      <c r="L940" s="3"/>
      <c r="O940" s="11"/>
      <c r="P940" s="3"/>
      <c r="Q940" s="9"/>
    </row>
    <row r="941" spans="2:17" x14ac:dyDescent="0.25">
      <c r="B941" s="1"/>
      <c r="E941" s="3"/>
      <c r="F941" s="3"/>
      <c r="G941" s="3"/>
      <c r="H941" s="3"/>
      <c r="K941" s="3"/>
      <c r="L941" s="3"/>
      <c r="O941" s="11"/>
      <c r="P941" s="3"/>
      <c r="Q941" s="9"/>
    </row>
    <row r="942" spans="2:17" x14ac:dyDescent="0.25">
      <c r="B942" s="1"/>
      <c r="E942" s="3"/>
      <c r="F942" s="3"/>
      <c r="G942" s="3"/>
      <c r="H942" s="3"/>
      <c r="K942" s="3"/>
      <c r="L942" s="3"/>
      <c r="O942" s="11"/>
      <c r="P942" s="3"/>
      <c r="Q942" s="9"/>
    </row>
    <row r="943" spans="2:17" x14ac:dyDescent="0.25">
      <c r="B943" s="1"/>
      <c r="E943" s="3"/>
      <c r="F943" s="3"/>
      <c r="G943" s="3"/>
      <c r="H943" s="3"/>
      <c r="K943" s="3"/>
      <c r="L943" s="3"/>
      <c r="O943" s="11"/>
      <c r="P943" s="3"/>
      <c r="Q943" s="9"/>
    </row>
    <row r="944" spans="2:17" x14ac:dyDescent="0.25">
      <c r="B944" s="1"/>
      <c r="E944" s="3"/>
      <c r="F944" s="3"/>
      <c r="G944" s="3"/>
      <c r="H944" s="3"/>
      <c r="K944" s="3"/>
      <c r="L944" s="3"/>
      <c r="O944" s="11"/>
      <c r="P944" s="3"/>
      <c r="Q944" s="9"/>
    </row>
    <row r="945" spans="2:17" x14ac:dyDescent="0.25">
      <c r="B945" s="1"/>
      <c r="E945" s="3"/>
      <c r="F945" s="3"/>
      <c r="G945" s="3"/>
      <c r="H945" s="3"/>
      <c r="K945" s="3"/>
      <c r="L945" s="3"/>
      <c r="O945" s="11"/>
      <c r="P945" s="3"/>
      <c r="Q945" s="9"/>
    </row>
    <row r="946" spans="2:17" x14ac:dyDescent="0.25">
      <c r="B946" s="1"/>
      <c r="E946" s="3"/>
      <c r="F946" s="3"/>
      <c r="G946" s="3"/>
      <c r="H946" s="3"/>
      <c r="K946" s="3"/>
      <c r="L946" s="3"/>
      <c r="O946" s="11"/>
      <c r="P946" s="3"/>
      <c r="Q946" s="9"/>
    </row>
    <row r="947" spans="2:17" x14ac:dyDescent="0.25">
      <c r="B947" s="1"/>
      <c r="E947" s="3"/>
      <c r="F947" s="3"/>
      <c r="G947" s="3"/>
      <c r="H947" s="3"/>
      <c r="K947" s="3"/>
      <c r="L947" s="3"/>
      <c r="O947" s="11"/>
      <c r="P947" s="3"/>
      <c r="Q947" s="9"/>
    </row>
    <row r="948" spans="2:17" x14ac:dyDescent="0.25">
      <c r="B948" s="1"/>
      <c r="E948" s="3"/>
      <c r="F948" s="3"/>
      <c r="G948" s="3"/>
      <c r="H948" s="3"/>
      <c r="K948" s="3"/>
      <c r="L948" s="3"/>
      <c r="O948" s="11"/>
      <c r="P948" s="3"/>
      <c r="Q948" s="9"/>
    </row>
    <row r="949" spans="2:17" x14ac:dyDescent="0.25">
      <c r="B949" s="1"/>
      <c r="E949" s="3"/>
      <c r="F949" s="3"/>
      <c r="G949" s="3"/>
      <c r="H949" s="3"/>
      <c r="K949" s="3"/>
      <c r="L949" s="3"/>
      <c r="O949" s="11"/>
      <c r="P949" s="3"/>
      <c r="Q949" s="9"/>
    </row>
    <row r="950" spans="2:17" x14ac:dyDescent="0.25">
      <c r="B950" s="1"/>
      <c r="E950" s="3"/>
      <c r="F950" s="3"/>
      <c r="G950" s="3"/>
      <c r="H950" s="3"/>
      <c r="K950" s="3"/>
      <c r="L950" s="3"/>
      <c r="O950" s="11"/>
      <c r="P950" s="3"/>
      <c r="Q950" s="9"/>
    </row>
    <row r="951" spans="2:17" x14ac:dyDescent="0.25">
      <c r="B951" s="1"/>
      <c r="E951" s="3"/>
      <c r="F951" s="3"/>
      <c r="G951" s="3"/>
      <c r="H951" s="3"/>
      <c r="K951" s="3"/>
      <c r="L951" s="3"/>
      <c r="O951" s="11"/>
      <c r="P951" s="3"/>
      <c r="Q951" s="9"/>
    </row>
    <row r="952" spans="2:17" x14ac:dyDescent="0.25">
      <c r="B952" s="1"/>
      <c r="E952" s="3"/>
      <c r="F952" s="3"/>
      <c r="G952" s="3"/>
      <c r="H952" s="3"/>
      <c r="K952" s="3"/>
      <c r="L952" s="3"/>
      <c r="O952" s="11"/>
      <c r="P952" s="3"/>
      <c r="Q952" s="9"/>
    </row>
    <row r="953" spans="2:17" x14ac:dyDescent="0.25">
      <c r="B953" s="1"/>
      <c r="E953" s="3"/>
      <c r="F953" s="3"/>
      <c r="G953" s="3"/>
      <c r="H953" s="3"/>
      <c r="K953" s="3"/>
      <c r="L953" s="3"/>
      <c r="O953" s="11"/>
      <c r="P953" s="3"/>
      <c r="Q953" s="9"/>
    </row>
    <row r="954" spans="2:17" x14ac:dyDescent="0.25">
      <c r="B954" s="1"/>
      <c r="E954" s="3"/>
      <c r="F954" s="3"/>
      <c r="G954" s="3"/>
      <c r="H954" s="3"/>
      <c r="K954" s="3"/>
      <c r="L954" s="3"/>
      <c r="O954" s="11"/>
      <c r="P954" s="3"/>
      <c r="Q954" s="9"/>
    </row>
    <row r="955" spans="2:17" x14ac:dyDescent="0.25">
      <c r="B955" s="1"/>
      <c r="E955" s="3"/>
      <c r="F955" s="3"/>
      <c r="G955" s="3"/>
      <c r="H955" s="3"/>
      <c r="K955" s="3"/>
      <c r="L955" s="3"/>
      <c r="O955" s="11"/>
      <c r="P955" s="3"/>
      <c r="Q955" s="9"/>
    </row>
    <row r="956" spans="2:17" x14ac:dyDescent="0.25">
      <c r="B956" s="1"/>
      <c r="E956" s="3"/>
      <c r="F956" s="3"/>
      <c r="G956" s="3"/>
      <c r="H956" s="3"/>
      <c r="K956" s="3"/>
      <c r="L956" s="3"/>
      <c r="O956" s="11"/>
      <c r="P956" s="3"/>
      <c r="Q956" s="9"/>
    </row>
    <row r="957" spans="2:17" x14ac:dyDescent="0.25">
      <c r="B957" s="1"/>
      <c r="E957" s="3"/>
      <c r="F957" s="3"/>
      <c r="G957" s="3"/>
      <c r="H957" s="3"/>
      <c r="K957" s="3"/>
      <c r="L957" s="3"/>
      <c r="O957" s="11"/>
      <c r="P957" s="3"/>
      <c r="Q957" s="9"/>
    </row>
    <row r="958" spans="2:17" x14ac:dyDescent="0.25">
      <c r="B958" s="1"/>
      <c r="E958" s="3"/>
      <c r="F958" s="3"/>
      <c r="G958" s="3"/>
      <c r="H958" s="3"/>
      <c r="K958" s="3"/>
      <c r="L958" s="3"/>
      <c r="O958" s="11"/>
      <c r="P958" s="3"/>
      <c r="Q958" s="9"/>
    </row>
    <row r="959" spans="2:17" x14ac:dyDescent="0.25">
      <c r="B959" s="1"/>
      <c r="E959" s="3"/>
      <c r="F959" s="3"/>
      <c r="G959" s="3"/>
      <c r="H959" s="3"/>
      <c r="K959" s="3"/>
      <c r="L959" s="3"/>
      <c r="O959" s="11"/>
      <c r="P959" s="3"/>
      <c r="Q959" s="9"/>
    </row>
    <row r="960" spans="2:17" x14ac:dyDescent="0.25">
      <c r="B960" s="1"/>
      <c r="E960" s="3"/>
      <c r="F960" s="3"/>
      <c r="G960" s="3"/>
      <c r="H960" s="3"/>
      <c r="K960" s="3"/>
      <c r="L960" s="3"/>
      <c r="O960" s="11"/>
      <c r="P960" s="3"/>
      <c r="Q960" s="9"/>
    </row>
    <row r="961" spans="2:17" x14ac:dyDescent="0.25">
      <c r="B961" s="1"/>
      <c r="E961" s="3"/>
      <c r="F961" s="3"/>
      <c r="G961" s="3"/>
      <c r="H961" s="3"/>
      <c r="K961" s="3"/>
      <c r="L961" s="3"/>
      <c r="O961" s="11"/>
      <c r="P961" s="3"/>
      <c r="Q961" s="9"/>
    </row>
    <row r="962" spans="2:17" x14ac:dyDescent="0.25">
      <c r="B962" s="1"/>
      <c r="E962" s="3"/>
      <c r="F962" s="3"/>
      <c r="G962" s="3"/>
      <c r="H962" s="3"/>
      <c r="K962" s="3"/>
      <c r="L962" s="3"/>
      <c r="O962" s="11"/>
      <c r="P962" s="3"/>
      <c r="Q962" s="9"/>
    </row>
    <row r="963" spans="2:17" x14ac:dyDescent="0.25">
      <c r="B963" s="1"/>
      <c r="E963" s="3"/>
      <c r="F963" s="3"/>
      <c r="G963" s="3"/>
      <c r="H963" s="3"/>
      <c r="K963" s="3"/>
      <c r="L963" s="3"/>
      <c r="O963" s="11"/>
      <c r="P963" s="3"/>
      <c r="Q963" s="9"/>
    </row>
    <row r="964" spans="2:17" x14ac:dyDescent="0.25">
      <c r="B964" s="1"/>
      <c r="E964" s="3"/>
      <c r="F964" s="3"/>
      <c r="G964" s="3"/>
      <c r="H964" s="3"/>
      <c r="K964" s="3"/>
      <c r="L964" s="3"/>
      <c r="O964" s="11"/>
      <c r="P964" s="3"/>
      <c r="Q964" s="9"/>
    </row>
    <row r="965" spans="2:17" x14ac:dyDescent="0.25">
      <c r="B965" s="1"/>
      <c r="E965" s="3"/>
      <c r="F965" s="3"/>
      <c r="G965" s="3"/>
      <c r="H965" s="3"/>
      <c r="K965" s="3"/>
      <c r="L965" s="3"/>
      <c r="O965" s="11"/>
      <c r="P965" s="3"/>
      <c r="Q965" s="9"/>
    </row>
    <row r="966" spans="2:17" x14ac:dyDescent="0.25">
      <c r="B966" s="1"/>
      <c r="E966" s="3"/>
      <c r="F966" s="3"/>
      <c r="G966" s="3"/>
      <c r="H966" s="3"/>
      <c r="K966" s="3"/>
      <c r="L966" s="3"/>
      <c r="O966" s="11"/>
      <c r="P966" s="3"/>
      <c r="Q966" s="9"/>
    </row>
    <row r="967" spans="2:17" x14ac:dyDescent="0.25">
      <c r="B967" s="1"/>
      <c r="E967" s="3"/>
      <c r="F967" s="3"/>
      <c r="G967" s="3"/>
      <c r="H967" s="3"/>
      <c r="K967" s="3"/>
      <c r="L967" s="3"/>
      <c r="O967" s="11"/>
      <c r="P967" s="3"/>
      <c r="Q967" s="9"/>
    </row>
    <row r="968" spans="2:17" x14ac:dyDescent="0.25">
      <c r="B968" s="1"/>
      <c r="E968" s="3"/>
      <c r="F968" s="3"/>
      <c r="G968" s="3"/>
      <c r="H968" s="3"/>
      <c r="K968" s="3"/>
      <c r="L968" s="3"/>
      <c r="O968" s="11"/>
      <c r="P968" s="3"/>
      <c r="Q968" s="9"/>
    </row>
    <row r="969" spans="2:17" x14ac:dyDescent="0.25">
      <c r="B969" s="1"/>
      <c r="E969" s="3"/>
      <c r="F969" s="3"/>
      <c r="G969" s="3"/>
      <c r="H969" s="3"/>
      <c r="K969" s="3"/>
      <c r="L969" s="3"/>
      <c r="O969" s="11"/>
      <c r="P969" s="3"/>
      <c r="Q969" s="9"/>
    </row>
    <row r="970" spans="2:17" x14ac:dyDescent="0.25">
      <c r="B970" s="1"/>
      <c r="E970" s="3"/>
      <c r="F970" s="3"/>
      <c r="G970" s="3"/>
      <c r="H970" s="3"/>
      <c r="K970" s="3"/>
      <c r="L970" s="3"/>
      <c r="O970" s="11"/>
      <c r="P970" s="3"/>
      <c r="Q970" s="9"/>
    </row>
    <row r="971" spans="2:17" x14ac:dyDescent="0.25">
      <c r="B971" s="1"/>
      <c r="E971" s="3"/>
      <c r="F971" s="3"/>
      <c r="G971" s="3"/>
      <c r="H971" s="3"/>
      <c r="K971" s="3"/>
      <c r="L971" s="3"/>
      <c r="O971" s="11"/>
      <c r="P971" s="3"/>
      <c r="Q971" s="9"/>
    </row>
    <row r="972" spans="2:17" x14ac:dyDescent="0.25">
      <c r="B972" s="1"/>
      <c r="E972" s="3"/>
      <c r="F972" s="3"/>
      <c r="G972" s="3"/>
      <c r="H972" s="3"/>
      <c r="K972" s="3"/>
      <c r="L972" s="3"/>
      <c r="O972" s="11"/>
      <c r="P972" s="3"/>
      <c r="Q972" s="9"/>
    </row>
    <row r="973" spans="2:17" x14ac:dyDescent="0.25">
      <c r="B973" s="1"/>
      <c r="E973" s="3"/>
      <c r="F973" s="3"/>
      <c r="G973" s="3"/>
      <c r="H973" s="3"/>
      <c r="K973" s="3"/>
      <c r="L973" s="3"/>
      <c r="O973" s="11"/>
      <c r="P973" s="3"/>
      <c r="Q973" s="9"/>
    </row>
    <row r="974" spans="2:17" x14ac:dyDescent="0.25">
      <c r="B974" s="1"/>
      <c r="E974" s="3"/>
      <c r="F974" s="3"/>
      <c r="G974" s="3"/>
      <c r="H974" s="3"/>
      <c r="K974" s="3"/>
      <c r="L974" s="3"/>
      <c r="O974" s="11"/>
      <c r="P974" s="3"/>
      <c r="Q974" s="9"/>
    </row>
    <row r="975" spans="2:17" x14ac:dyDescent="0.25">
      <c r="B975" s="1"/>
      <c r="E975" s="3"/>
      <c r="F975" s="3"/>
      <c r="G975" s="3"/>
      <c r="H975" s="3"/>
      <c r="K975" s="3"/>
      <c r="L975" s="3"/>
      <c r="O975" s="11"/>
      <c r="P975" s="3"/>
      <c r="Q975" s="9"/>
    </row>
    <row r="976" spans="2:17" x14ac:dyDescent="0.25">
      <c r="B976" s="1"/>
      <c r="E976" s="3"/>
      <c r="F976" s="3"/>
      <c r="G976" s="3"/>
      <c r="H976" s="3"/>
      <c r="K976" s="3"/>
      <c r="L976" s="3"/>
      <c r="O976" s="11"/>
      <c r="P976" s="3"/>
      <c r="Q976" s="9"/>
    </row>
    <row r="977" spans="2:17" x14ac:dyDescent="0.25">
      <c r="B977" s="1"/>
      <c r="E977" s="3"/>
      <c r="F977" s="3"/>
      <c r="G977" s="3"/>
      <c r="H977" s="3"/>
      <c r="K977" s="3"/>
      <c r="L977" s="3"/>
      <c r="O977" s="11"/>
      <c r="P977" s="3"/>
      <c r="Q977" s="9"/>
    </row>
    <row r="978" spans="2:17" x14ac:dyDescent="0.25">
      <c r="B978" s="1"/>
      <c r="E978" s="3"/>
      <c r="F978" s="3"/>
      <c r="G978" s="3"/>
      <c r="H978" s="3"/>
      <c r="K978" s="3"/>
      <c r="L978" s="3"/>
      <c r="O978" s="11"/>
      <c r="P978" s="3"/>
      <c r="Q978" s="9"/>
    </row>
    <row r="979" spans="2:17" x14ac:dyDescent="0.25">
      <c r="B979" s="1"/>
      <c r="E979" s="3"/>
      <c r="F979" s="3"/>
      <c r="G979" s="3"/>
      <c r="H979" s="3"/>
      <c r="K979" s="3"/>
      <c r="L979" s="3"/>
      <c r="O979" s="11"/>
      <c r="P979" s="3"/>
      <c r="Q979" s="9"/>
    </row>
    <row r="980" spans="2:17" x14ac:dyDescent="0.25">
      <c r="B980" s="1"/>
      <c r="E980" s="3"/>
      <c r="F980" s="3"/>
      <c r="G980" s="3"/>
      <c r="H980" s="3"/>
      <c r="K980" s="3"/>
      <c r="L980" s="3"/>
      <c r="O980" s="11"/>
      <c r="P980" s="3"/>
      <c r="Q980" s="9"/>
    </row>
    <row r="981" spans="2:17" x14ac:dyDescent="0.25">
      <c r="B981" s="1"/>
      <c r="E981" s="3"/>
      <c r="F981" s="3"/>
      <c r="G981" s="3"/>
      <c r="H981" s="3"/>
      <c r="K981" s="3"/>
      <c r="L981" s="3"/>
      <c r="O981" s="11"/>
      <c r="P981" s="3"/>
      <c r="Q981" s="9"/>
    </row>
    <row r="982" spans="2:17" x14ac:dyDescent="0.25">
      <c r="B982" s="1"/>
      <c r="E982" s="3"/>
      <c r="F982" s="3"/>
      <c r="G982" s="3"/>
      <c r="H982" s="3"/>
      <c r="K982" s="3"/>
      <c r="L982" s="3"/>
      <c r="O982" s="11"/>
      <c r="P982" s="3"/>
      <c r="Q982" s="9"/>
    </row>
    <row r="983" spans="2:17" x14ac:dyDescent="0.25">
      <c r="B983" s="1"/>
      <c r="E983" s="3"/>
      <c r="F983" s="3"/>
      <c r="G983" s="3"/>
      <c r="H983" s="3"/>
      <c r="K983" s="3"/>
      <c r="L983" s="3"/>
      <c r="O983" s="11"/>
      <c r="P983" s="3"/>
      <c r="Q983" s="9"/>
    </row>
    <row r="984" spans="2:17" x14ac:dyDescent="0.25">
      <c r="B984" s="1"/>
      <c r="E984" s="3"/>
      <c r="F984" s="3"/>
      <c r="G984" s="3"/>
      <c r="H984" s="3"/>
      <c r="K984" s="3"/>
      <c r="L984" s="3"/>
      <c r="O984" s="11"/>
      <c r="P984" s="3"/>
      <c r="Q984" s="9"/>
    </row>
    <row r="985" spans="2:17" x14ac:dyDescent="0.25">
      <c r="B985" s="1"/>
      <c r="E985" s="3"/>
      <c r="F985" s="3"/>
      <c r="G985" s="3"/>
      <c r="H985" s="3"/>
      <c r="K985" s="3"/>
      <c r="L985" s="3"/>
      <c r="O985" s="11"/>
      <c r="P985" s="3"/>
      <c r="Q985" s="9"/>
    </row>
    <row r="986" spans="2:17" x14ac:dyDescent="0.25">
      <c r="B986" s="1"/>
      <c r="E986" s="3"/>
      <c r="F986" s="3"/>
      <c r="G986" s="3"/>
      <c r="H986" s="3"/>
      <c r="K986" s="3"/>
      <c r="L986" s="3"/>
      <c r="O986" s="11"/>
      <c r="P986" s="3"/>
      <c r="Q986" s="9"/>
    </row>
    <row r="987" spans="2:17" x14ac:dyDescent="0.25">
      <c r="B987" s="1"/>
      <c r="E987" s="3"/>
      <c r="F987" s="3"/>
      <c r="G987" s="3"/>
      <c r="H987" s="3"/>
      <c r="K987" s="3"/>
      <c r="L987" s="3"/>
      <c r="O987" s="11"/>
      <c r="P987" s="3"/>
      <c r="Q987" s="9"/>
    </row>
    <row r="988" spans="2:17" x14ac:dyDescent="0.25">
      <c r="B988" s="1"/>
      <c r="E988" s="3"/>
      <c r="F988" s="3"/>
      <c r="G988" s="3"/>
      <c r="H988" s="3"/>
      <c r="K988" s="3"/>
      <c r="L988" s="3"/>
      <c r="O988" s="11"/>
      <c r="P988" s="3"/>
      <c r="Q988" s="9"/>
    </row>
    <row r="989" spans="2:17" x14ac:dyDescent="0.25">
      <c r="B989" s="1"/>
      <c r="E989" s="3"/>
      <c r="F989" s="3"/>
      <c r="G989" s="3"/>
      <c r="H989" s="3"/>
      <c r="K989" s="3"/>
      <c r="L989" s="3"/>
      <c r="O989" s="11"/>
      <c r="P989" s="3"/>
      <c r="Q989" s="9"/>
    </row>
    <row r="990" spans="2:17" x14ac:dyDescent="0.25">
      <c r="B990" s="1"/>
      <c r="E990" s="3"/>
      <c r="F990" s="3"/>
      <c r="G990" s="3"/>
      <c r="H990" s="3"/>
      <c r="K990" s="3"/>
      <c r="L990" s="3"/>
      <c r="O990" s="11"/>
      <c r="P990" s="3"/>
      <c r="Q990" s="9"/>
    </row>
    <row r="991" spans="2:17" x14ac:dyDescent="0.25">
      <c r="B991" s="1"/>
      <c r="E991" s="3"/>
      <c r="F991" s="3"/>
      <c r="G991" s="3"/>
      <c r="H991" s="3"/>
      <c r="K991" s="3"/>
      <c r="L991" s="3"/>
      <c r="O991" s="11"/>
      <c r="P991" s="3"/>
      <c r="Q991" s="9"/>
    </row>
    <row r="992" spans="2:17" x14ac:dyDescent="0.25">
      <c r="B992" s="1"/>
      <c r="E992" s="3"/>
      <c r="F992" s="3"/>
      <c r="G992" s="3"/>
      <c r="H992" s="3"/>
      <c r="K992" s="3"/>
      <c r="L992" s="3"/>
      <c r="O992" s="11"/>
      <c r="P992" s="3"/>
      <c r="Q992" s="9"/>
    </row>
    <row r="993" spans="2:17" x14ac:dyDescent="0.25">
      <c r="B993" s="1"/>
      <c r="E993" s="3"/>
      <c r="F993" s="3"/>
      <c r="G993" s="3"/>
      <c r="H993" s="3"/>
      <c r="K993" s="3"/>
      <c r="L993" s="3"/>
      <c r="O993" s="11"/>
      <c r="P993" s="3"/>
      <c r="Q993" s="9"/>
    </row>
    <row r="994" spans="2:17" x14ac:dyDescent="0.25">
      <c r="B994" s="1"/>
      <c r="E994" s="3"/>
      <c r="F994" s="3"/>
      <c r="G994" s="3"/>
      <c r="H994" s="3"/>
      <c r="K994" s="3"/>
      <c r="L994" s="3"/>
      <c r="O994" s="11"/>
      <c r="P994" s="3"/>
      <c r="Q994" s="9"/>
    </row>
    <row r="995" spans="2:17" x14ac:dyDescent="0.25">
      <c r="B995" s="1"/>
      <c r="E995" s="3"/>
      <c r="F995" s="3"/>
      <c r="G995" s="3"/>
      <c r="H995" s="3"/>
      <c r="K995" s="3"/>
      <c r="L995" s="3"/>
      <c r="O995" s="11"/>
      <c r="P995" s="3"/>
      <c r="Q995" s="9"/>
    </row>
    <row r="996" spans="2:17" x14ac:dyDescent="0.25">
      <c r="B996" s="1"/>
      <c r="E996" s="3"/>
      <c r="F996" s="3"/>
      <c r="G996" s="3"/>
      <c r="H996" s="3"/>
      <c r="K996" s="3"/>
      <c r="L996" s="3"/>
      <c r="O996" s="11"/>
      <c r="P996" s="3"/>
      <c r="Q996" s="9"/>
    </row>
    <row r="997" spans="2:17" x14ac:dyDescent="0.25">
      <c r="B997" s="1"/>
      <c r="E997" s="3"/>
      <c r="F997" s="3"/>
      <c r="G997" s="3"/>
      <c r="H997" s="3"/>
      <c r="K997" s="3"/>
      <c r="L997" s="3"/>
      <c r="O997" s="11"/>
      <c r="P997" s="3"/>
      <c r="Q997" s="9"/>
    </row>
    <row r="998" spans="2:17" x14ac:dyDescent="0.25">
      <c r="B998" s="1"/>
      <c r="E998" s="3"/>
      <c r="F998" s="3"/>
      <c r="G998" s="3"/>
      <c r="H998" s="3"/>
      <c r="K998" s="3"/>
      <c r="L998" s="3"/>
      <c r="O998" s="11"/>
      <c r="P998" s="3"/>
      <c r="Q998" s="9"/>
    </row>
    <row r="999" spans="2:17" x14ac:dyDescent="0.25">
      <c r="B999" s="1"/>
      <c r="E999" s="3"/>
      <c r="F999" s="3"/>
      <c r="G999" s="3"/>
      <c r="H999" s="3"/>
      <c r="K999" s="3"/>
      <c r="L999" s="3"/>
      <c r="O999" s="11"/>
      <c r="P999" s="3"/>
      <c r="Q999" s="9"/>
    </row>
    <row r="1000" spans="2:17" x14ac:dyDescent="0.25">
      <c r="B1000" s="1"/>
      <c r="E1000" s="3"/>
      <c r="F1000" s="3"/>
      <c r="G1000" s="3"/>
      <c r="H1000" s="3"/>
      <c r="K1000" s="3"/>
      <c r="L1000" s="3"/>
      <c r="O1000" s="11"/>
      <c r="P1000" s="3"/>
      <c r="Q1000" s="9"/>
    </row>
    <row r="1001" spans="2:17" x14ac:dyDescent="0.25">
      <c r="B1001" s="1"/>
      <c r="E1001" s="3"/>
      <c r="F1001" s="3"/>
      <c r="G1001" s="3"/>
      <c r="H1001" s="3"/>
      <c r="K1001" s="3"/>
      <c r="L1001" s="3"/>
      <c r="O1001" s="11"/>
      <c r="P1001" s="3"/>
      <c r="Q1001" s="9"/>
    </row>
    <row r="1002" spans="2:17" x14ac:dyDescent="0.25">
      <c r="B1002" s="1"/>
      <c r="E1002" s="3"/>
      <c r="F1002" s="3"/>
      <c r="G1002" s="3"/>
      <c r="H1002" s="3"/>
      <c r="K1002" s="3"/>
      <c r="L1002" s="3"/>
      <c r="O1002" s="11"/>
      <c r="P1002" s="3"/>
      <c r="Q1002" s="9"/>
    </row>
    <row r="1003" spans="2:17" x14ac:dyDescent="0.25">
      <c r="B1003" s="1"/>
      <c r="E1003" s="3"/>
      <c r="F1003" s="3"/>
      <c r="G1003" s="3"/>
      <c r="H1003" s="3"/>
      <c r="K1003" s="3"/>
      <c r="L1003" s="3"/>
      <c r="O1003" s="11"/>
      <c r="P1003" s="3"/>
      <c r="Q1003" s="9"/>
    </row>
    <row r="1004" spans="2:17" x14ac:dyDescent="0.25">
      <c r="B1004" s="1"/>
      <c r="E1004" s="3"/>
      <c r="F1004" s="3"/>
      <c r="G1004" s="3"/>
      <c r="H1004" s="3"/>
      <c r="K1004" s="3"/>
      <c r="L1004" s="3"/>
      <c r="O1004" s="11"/>
      <c r="P1004" s="3"/>
      <c r="Q1004" s="9"/>
    </row>
    <row r="1005" spans="2:17" x14ac:dyDescent="0.25">
      <c r="B1005" s="1"/>
      <c r="E1005" s="3"/>
      <c r="F1005" s="3"/>
      <c r="G1005" s="3"/>
      <c r="H1005" s="3"/>
      <c r="K1005" s="3"/>
      <c r="L1005" s="3"/>
      <c r="O1005" s="11"/>
      <c r="P1005" s="3"/>
      <c r="Q1005" s="9"/>
    </row>
    <row r="1006" spans="2:17" x14ac:dyDescent="0.25">
      <c r="B1006" s="1"/>
      <c r="E1006" s="3"/>
      <c r="F1006" s="3"/>
      <c r="G1006" s="3"/>
      <c r="H1006" s="3"/>
      <c r="K1006" s="3"/>
      <c r="L1006" s="3"/>
      <c r="O1006" s="11"/>
      <c r="P1006" s="3"/>
      <c r="Q1006" s="9"/>
    </row>
    <row r="1007" spans="2:17" x14ac:dyDescent="0.25">
      <c r="B1007" s="1"/>
      <c r="E1007" s="3"/>
      <c r="F1007" s="3"/>
      <c r="G1007" s="3"/>
      <c r="H1007" s="3"/>
      <c r="K1007" s="3"/>
      <c r="L1007" s="3"/>
      <c r="O1007" s="11"/>
      <c r="P1007" s="3"/>
      <c r="Q1007" s="9"/>
    </row>
    <row r="1008" spans="2:17" x14ac:dyDescent="0.25">
      <c r="B1008" s="1"/>
      <c r="E1008" s="3"/>
      <c r="F1008" s="3"/>
      <c r="G1008" s="3"/>
      <c r="H1008" s="3"/>
      <c r="K1008" s="3"/>
      <c r="L1008" s="3"/>
      <c r="O1008" s="11"/>
      <c r="P1008" s="3"/>
      <c r="Q1008" s="9"/>
    </row>
    <row r="1009" spans="2:17" x14ac:dyDescent="0.25">
      <c r="B1009" s="1"/>
      <c r="E1009" s="3"/>
      <c r="F1009" s="3"/>
      <c r="G1009" s="3"/>
      <c r="H1009" s="3"/>
      <c r="K1009" s="3"/>
      <c r="L1009" s="3"/>
      <c r="O1009" s="11"/>
      <c r="P1009" s="3"/>
      <c r="Q1009" s="9"/>
    </row>
    <row r="1010" spans="2:17" x14ac:dyDescent="0.25">
      <c r="B1010" s="1"/>
      <c r="E1010" s="3"/>
      <c r="F1010" s="3"/>
      <c r="G1010" s="3"/>
      <c r="H1010" s="3"/>
      <c r="K1010" s="3"/>
      <c r="L1010" s="3"/>
      <c r="O1010" s="11"/>
      <c r="P1010" s="3"/>
      <c r="Q1010" s="9"/>
    </row>
    <row r="1011" spans="2:17" x14ac:dyDescent="0.25">
      <c r="B1011" s="1"/>
      <c r="E1011" s="3"/>
      <c r="F1011" s="3"/>
      <c r="G1011" s="3"/>
      <c r="H1011" s="3"/>
      <c r="K1011" s="3"/>
      <c r="L1011" s="3"/>
      <c r="O1011" s="11"/>
      <c r="P1011" s="3"/>
      <c r="Q1011" s="9"/>
    </row>
    <row r="1012" spans="2:17" x14ac:dyDescent="0.25">
      <c r="B1012" s="1"/>
      <c r="E1012" s="3"/>
      <c r="F1012" s="3"/>
      <c r="G1012" s="3"/>
      <c r="H1012" s="3"/>
      <c r="K1012" s="3"/>
      <c r="L1012" s="3"/>
      <c r="O1012" s="11"/>
      <c r="P1012" s="3"/>
      <c r="Q1012" s="9"/>
    </row>
    <row r="1013" spans="2:17" x14ac:dyDescent="0.25">
      <c r="B1013" s="1"/>
      <c r="E1013" s="3"/>
      <c r="F1013" s="3"/>
      <c r="G1013" s="3"/>
      <c r="H1013" s="3"/>
      <c r="K1013" s="3"/>
      <c r="L1013" s="3"/>
      <c r="O1013" s="11"/>
      <c r="P1013" s="3"/>
      <c r="Q1013" s="9"/>
    </row>
    <row r="1014" spans="2:17" x14ac:dyDescent="0.25">
      <c r="B1014" s="1"/>
      <c r="E1014" s="3"/>
      <c r="F1014" s="3"/>
      <c r="G1014" s="3"/>
      <c r="H1014" s="3"/>
      <c r="K1014" s="3"/>
      <c r="L1014" s="3"/>
      <c r="O1014" s="11"/>
      <c r="P1014" s="3"/>
      <c r="Q1014" s="9"/>
    </row>
    <row r="1015" spans="2:17" x14ac:dyDescent="0.25">
      <c r="B1015" s="1"/>
      <c r="E1015" s="3"/>
      <c r="F1015" s="3"/>
      <c r="G1015" s="3"/>
      <c r="H1015" s="3"/>
      <c r="K1015" s="3"/>
      <c r="L1015" s="3"/>
      <c r="O1015" s="11"/>
      <c r="P1015" s="3"/>
      <c r="Q1015" s="9"/>
    </row>
    <row r="1016" spans="2:17" x14ac:dyDescent="0.25">
      <c r="B1016" s="1"/>
      <c r="E1016" s="3"/>
      <c r="F1016" s="3"/>
      <c r="G1016" s="3"/>
      <c r="H1016" s="3"/>
      <c r="K1016" s="3"/>
      <c r="L1016" s="3"/>
      <c r="O1016" s="11"/>
      <c r="P1016" s="3"/>
      <c r="Q1016" s="9"/>
    </row>
    <row r="1017" spans="2:17" x14ac:dyDescent="0.25">
      <c r="B1017" s="1"/>
      <c r="E1017" s="3"/>
      <c r="F1017" s="3"/>
      <c r="G1017" s="3"/>
      <c r="H1017" s="3"/>
      <c r="K1017" s="3"/>
      <c r="L1017" s="3"/>
      <c r="O1017" s="11"/>
      <c r="P1017" s="3"/>
      <c r="Q1017" s="9"/>
    </row>
    <row r="1018" spans="2:17" x14ac:dyDescent="0.25">
      <c r="B1018" s="1"/>
      <c r="E1018" s="3"/>
      <c r="F1018" s="3"/>
      <c r="G1018" s="3"/>
      <c r="H1018" s="3"/>
      <c r="K1018" s="3"/>
      <c r="L1018" s="3"/>
      <c r="O1018" s="11"/>
      <c r="P1018" s="3"/>
      <c r="Q1018" s="9"/>
    </row>
    <row r="1019" spans="2:17" x14ac:dyDescent="0.25">
      <c r="B1019" s="1"/>
      <c r="E1019" s="3"/>
      <c r="F1019" s="3"/>
      <c r="G1019" s="3"/>
      <c r="H1019" s="3"/>
      <c r="K1019" s="3"/>
      <c r="L1019" s="3"/>
      <c r="O1019" s="11"/>
      <c r="P1019" s="3"/>
      <c r="Q1019" s="9"/>
    </row>
    <row r="1020" spans="2:17" x14ac:dyDescent="0.25">
      <c r="B1020" s="1"/>
      <c r="E1020" s="3"/>
      <c r="F1020" s="3"/>
      <c r="G1020" s="3"/>
      <c r="H1020" s="3"/>
      <c r="K1020" s="3"/>
      <c r="L1020" s="3"/>
      <c r="O1020" s="11"/>
      <c r="P1020" s="3"/>
      <c r="Q1020" s="9"/>
    </row>
    <row r="1021" spans="2:17" x14ac:dyDescent="0.25">
      <c r="B1021" s="1"/>
      <c r="E1021" s="3"/>
      <c r="F1021" s="3"/>
      <c r="G1021" s="3"/>
      <c r="H1021" s="3"/>
      <c r="K1021" s="3"/>
      <c r="L1021" s="3"/>
      <c r="O1021" s="11"/>
      <c r="P1021" s="3"/>
      <c r="Q1021" s="9"/>
    </row>
    <row r="1022" spans="2:17" x14ac:dyDescent="0.25">
      <c r="B1022" s="1"/>
      <c r="E1022" s="3"/>
      <c r="F1022" s="3"/>
      <c r="G1022" s="3"/>
      <c r="H1022" s="3"/>
      <c r="K1022" s="3"/>
      <c r="L1022" s="3"/>
      <c r="O1022" s="11"/>
      <c r="P1022" s="3"/>
      <c r="Q1022" s="9"/>
    </row>
    <row r="1023" spans="2:17" x14ac:dyDescent="0.25">
      <c r="B1023" s="1"/>
      <c r="E1023" s="3"/>
      <c r="F1023" s="3"/>
      <c r="G1023" s="3"/>
      <c r="H1023" s="3"/>
      <c r="K1023" s="3"/>
      <c r="L1023" s="3"/>
      <c r="O1023" s="11"/>
      <c r="P1023" s="3"/>
      <c r="Q1023" s="9"/>
    </row>
    <row r="1024" spans="2:17" x14ac:dyDescent="0.25">
      <c r="B1024" s="1"/>
      <c r="E1024" s="3"/>
      <c r="F1024" s="3"/>
      <c r="G1024" s="3"/>
      <c r="H1024" s="3"/>
      <c r="K1024" s="3"/>
      <c r="L1024" s="3"/>
      <c r="O1024" s="11"/>
      <c r="P1024" s="3"/>
      <c r="Q1024" s="9"/>
    </row>
    <row r="1025" spans="2:17" x14ac:dyDescent="0.25">
      <c r="B1025" s="1"/>
      <c r="E1025" s="3"/>
      <c r="F1025" s="3"/>
      <c r="G1025" s="3"/>
      <c r="H1025" s="3"/>
      <c r="K1025" s="3"/>
      <c r="L1025" s="3"/>
      <c r="O1025" s="11"/>
      <c r="P1025" s="3"/>
      <c r="Q1025" s="9"/>
    </row>
    <row r="1026" spans="2:17" x14ac:dyDescent="0.25">
      <c r="B1026" s="1"/>
      <c r="E1026" s="3"/>
      <c r="F1026" s="3"/>
      <c r="G1026" s="3"/>
      <c r="H1026" s="3"/>
      <c r="K1026" s="3"/>
      <c r="L1026" s="3"/>
      <c r="O1026" s="11"/>
      <c r="P1026" s="3"/>
      <c r="Q1026" s="9"/>
    </row>
    <row r="1027" spans="2:17" x14ac:dyDescent="0.25">
      <c r="B1027" s="1"/>
      <c r="E1027" s="3"/>
      <c r="F1027" s="3"/>
      <c r="G1027" s="3"/>
      <c r="H1027" s="3"/>
      <c r="K1027" s="3"/>
      <c r="L1027" s="3"/>
      <c r="O1027" s="11"/>
      <c r="P1027" s="3"/>
      <c r="Q1027" s="9"/>
    </row>
    <row r="1028" spans="2:17" x14ac:dyDescent="0.25">
      <c r="B1028" s="1"/>
      <c r="E1028" s="3"/>
      <c r="F1028" s="3"/>
      <c r="G1028" s="3"/>
      <c r="H1028" s="3"/>
      <c r="K1028" s="3"/>
      <c r="L1028" s="3"/>
      <c r="O1028" s="11"/>
      <c r="P1028" s="3"/>
      <c r="Q1028" s="9"/>
    </row>
    <row r="1029" spans="2:17" x14ac:dyDescent="0.25">
      <c r="B1029" s="1"/>
      <c r="E1029" s="3"/>
      <c r="F1029" s="3"/>
      <c r="G1029" s="3"/>
      <c r="H1029" s="3"/>
      <c r="K1029" s="3"/>
      <c r="L1029" s="3"/>
      <c r="O1029" s="11"/>
      <c r="P1029" s="3"/>
      <c r="Q1029" s="9"/>
    </row>
    <row r="1030" spans="2:17" x14ac:dyDescent="0.25">
      <c r="B1030" s="1"/>
      <c r="E1030" s="3"/>
      <c r="F1030" s="3"/>
      <c r="G1030" s="3"/>
      <c r="H1030" s="3"/>
      <c r="K1030" s="3"/>
      <c r="L1030" s="3"/>
      <c r="O1030" s="11"/>
      <c r="P1030" s="3"/>
      <c r="Q1030" s="9"/>
    </row>
    <row r="1031" spans="2:17" x14ac:dyDescent="0.25">
      <c r="B1031" s="1"/>
      <c r="E1031" s="3"/>
      <c r="F1031" s="3"/>
      <c r="G1031" s="3"/>
      <c r="H1031" s="3"/>
      <c r="K1031" s="3"/>
      <c r="L1031" s="3"/>
      <c r="O1031" s="11"/>
      <c r="P1031" s="3"/>
      <c r="Q1031" s="9"/>
    </row>
    <row r="1032" spans="2:17" x14ac:dyDescent="0.25">
      <c r="B1032" s="1"/>
      <c r="E1032" s="3"/>
      <c r="F1032" s="3"/>
      <c r="G1032" s="3"/>
      <c r="H1032" s="3"/>
      <c r="K1032" s="3"/>
      <c r="L1032" s="3"/>
      <c r="O1032" s="11"/>
      <c r="P1032" s="3"/>
      <c r="Q1032" s="9"/>
    </row>
    <row r="1033" spans="2:17" x14ac:dyDescent="0.25">
      <c r="B1033" s="1"/>
      <c r="E1033" s="3"/>
      <c r="F1033" s="3"/>
      <c r="G1033" s="3"/>
      <c r="H1033" s="3"/>
      <c r="K1033" s="3"/>
      <c r="L1033" s="3"/>
      <c r="O1033" s="11"/>
      <c r="P1033" s="3"/>
      <c r="Q1033" s="9"/>
    </row>
    <row r="1034" spans="2:17" x14ac:dyDescent="0.25">
      <c r="B1034" s="1"/>
      <c r="E1034" s="3"/>
      <c r="F1034" s="3"/>
      <c r="G1034" s="3"/>
      <c r="H1034" s="3"/>
      <c r="K1034" s="3"/>
      <c r="L1034" s="3"/>
      <c r="O1034" s="11"/>
      <c r="P1034" s="3"/>
      <c r="Q1034" s="9"/>
    </row>
    <row r="1035" spans="2:17" x14ac:dyDescent="0.25">
      <c r="B1035" s="1"/>
      <c r="E1035" s="3"/>
      <c r="F1035" s="3"/>
      <c r="G1035" s="3"/>
      <c r="H1035" s="3"/>
      <c r="K1035" s="3"/>
      <c r="L1035" s="3"/>
      <c r="O1035" s="11"/>
      <c r="P1035" s="3"/>
      <c r="Q1035" s="9"/>
    </row>
    <row r="1036" spans="2:17" x14ac:dyDescent="0.25">
      <c r="B1036" s="1"/>
      <c r="E1036" s="3"/>
      <c r="F1036" s="3"/>
      <c r="G1036" s="3"/>
      <c r="H1036" s="3"/>
      <c r="K1036" s="3"/>
      <c r="L1036" s="3"/>
      <c r="O1036" s="11"/>
      <c r="P1036" s="3"/>
      <c r="Q1036" s="9"/>
    </row>
    <row r="1037" spans="2:17" x14ac:dyDescent="0.25">
      <c r="B1037" s="1"/>
      <c r="E1037" s="3"/>
      <c r="F1037" s="3"/>
      <c r="G1037" s="3"/>
      <c r="H1037" s="3"/>
      <c r="K1037" s="3"/>
      <c r="L1037" s="3"/>
      <c r="O1037" s="11"/>
      <c r="P1037" s="3"/>
      <c r="Q1037" s="9"/>
    </row>
    <row r="1038" spans="2:17" x14ac:dyDescent="0.25">
      <c r="B1038" s="1"/>
      <c r="E1038" s="3"/>
      <c r="F1038" s="3"/>
      <c r="G1038" s="3"/>
      <c r="H1038" s="3"/>
      <c r="K1038" s="3"/>
      <c r="L1038" s="3"/>
      <c r="O1038" s="11"/>
      <c r="P1038" s="3"/>
      <c r="Q1038" s="9"/>
    </row>
    <row r="1039" spans="2:17" x14ac:dyDescent="0.25">
      <c r="B1039" s="1"/>
      <c r="E1039" s="3"/>
      <c r="F1039" s="3"/>
      <c r="G1039" s="3"/>
      <c r="H1039" s="3"/>
      <c r="K1039" s="3"/>
      <c r="L1039" s="3"/>
      <c r="O1039" s="11"/>
      <c r="P1039" s="3"/>
      <c r="Q1039" s="9"/>
    </row>
    <row r="1040" spans="2:17" x14ac:dyDescent="0.25">
      <c r="B1040" s="1"/>
      <c r="E1040" s="3"/>
      <c r="F1040" s="3"/>
      <c r="G1040" s="3"/>
      <c r="H1040" s="3"/>
      <c r="K1040" s="3"/>
      <c r="L1040" s="3"/>
      <c r="O1040" s="11"/>
      <c r="P1040" s="3"/>
      <c r="Q1040" s="9"/>
    </row>
    <row r="1041" spans="2:17" x14ac:dyDescent="0.25">
      <c r="B1041" s="1"/>
      <c r="E1041" s="3"/>
      <c r="F1041" s="3"/>
      <c r="G1041" s="3"/>
      <c r="H1041" s="3"/>
      <c r="K1041" s="3"/>
      <c r="L1041" s="3"/>
      <c r="O1041" s="11"/>
      <c r="P1041" s="3"/>
      <c r="Q1041" s="9"/>
    </row>
    <row r="1042" spans="2:17" x14ac:dyDescent="0.25">
      <c r="B1042" s="1"/>
      <c r="E1042" s="3"/>
      <c r="F1042" s="3"/>
      <c r="G1042" s="3"/>
      <c r="H1042" s="3"/>
      <c r="K1042" s="3"/>
      <c r="L1042" s="3"/>
      <c r="O1042" s="11"/>
      <c r="P1042" s="3"/>
      <c r="Q1042" s="9"/>
    </row>
    <row r="1043" spans="2:17" x14ac:dyDescent="0.25">
      <c r="B1043" s="1"/>
      <c r="E1043" s="3"/>
      <c r="F1043" s="3"/>
      <c r="G1043" s="3"/>
      <c r="H1043" s="3"/>
      <c r="K1043" s="3"/>
      <c r="L1043" s="3"/>
      <c r="O1043" s="11"/>
      <c r="P1043" s="3"/>
      <c r="Q1043" s="9"/>
    </row>
    <row r="1044" spans="2:17" x14ac:dyDescent="0.25">
      <c r="B1044" s="1"/>
      <c r="E1044" s="3"/>
      <c r="F1044" s="3"/>
      <c r="G1044" s="3"/>
      <c r="H1044" s="3"/>
      <c r="K1044" s="3"/>
      <c r="L1044" s="3"/>
      <c r="O1044" s="11"/>
      <c r="P1044" s="3"/>
      <c r="Q1044" s="9"/>
    </row>
    <row r="1045" spans="2:17" x14ac:dyDescent="0.25">
      <c r="B1045" s="1"/>
      <c r="E1045" s="3"/>
      <c r="F1045" s="3"/>
      <c r="G1045" s="3"/>
      <c r="H1045" s="3"/>
      <c r="K1045" s="3"/>
      <c r="L1045" s="3"/>
      <c r="O1045" s="11"/>
      <c r="P1045" s="3"/>
      <c r="Q1045" s="9"/>
    </row>
    <row r="1046" spans="2:17" x14ac:dyDescent="0.25">
      <c r="B1046" s="1"/>
      <c r="E1046" s="3"/>
      <c r="F1046" s="3"/>
      <c r="G1046" s="3"/>
      <c r="H1046" s="3"/>
      <c r="K1046" s="3"/>
      <c r="L1046" s="3"/>
      <c r="O1046" s="11"/>
      <c r="P1046" s="3"/>
      <c r="Q1046" s="9"/>
    </row>
    <row r="1047" spans="2:17" x14ac:dyDescent="0.25">
      <c r="B1047" s="1"/>
      <c r="E1047" s="3"/>
      <c r="F1047" s="3"/>
      <c r="G1047" s="3"/>
      <c r="H1047" s="3"/>
      <c r="K1047" s="3"/>
      <c r="L1047" s="3"/>
      <c r="O1047" s="11"/>
      <c r="P1047" s="3"/>
      <c r="Q1047" s="9"/>
    </row>
    <row r="1048" spans="2:17" x14ac:dyDescent="0.25">
      <c r="B1048" s="1"/>
      <c r="E1048" s="3"/>
      <c r="F1048" s="3"/>
      <c r="G1048" s="3"/>
      <c r="H1048" s="3"/>
      <c r="K1048" s="3"/>
      <c r="L1048" s="3"/>
      <c r="O1048" s="11"/>
      <c r="P1048" s="3"/>
      <c r="Q1048" s="9"/>
    </row>
    <row r="1049" spans="2:17" x14ac:dyDescent="0.25">
      <c r="B1049" s="1"/>
      <c r="E1049" s="3"/>
      <c r="F1049" s="3"/>
      <c r="G1049" s="3"/>
      <c r="H1049" s="3"/>
      <c r="K1049" s="3"/>
      <c r="L1049" s="3"/>
      <c r="O1049" s="11"/>
      <c r="P1049" s="3"/>
      <c r="Q1049" s="9"/>
    </row>
    <row r="1050" spans="2:17" x14ac:dyDescent="0.25">
      <c r="B1050" s="1"/>
      <c r="E1050" s="3"/>
      <c r="F1050" s="3"/>
      <c r="G1050" s="3"/>
      <c r="H1050" s="3"/>
      <c r="K1050" s="3"/>
      <c r="L1050" s="3"/>
      <c r="O1050" s="11"/>
      <c r="P1050" s="3"/>
      <c r="Q1050" s="9"/>
    </row>
    <row r="1051" spans="2:17" x14ac:dyDescent="0.25">
      <c r="B1051" s="1"/>
      <c r="E1051" s="3"/>
      <c r="F1051" s="3"/>
      <c r="G1051" s="3"/>
      <c r="H1051" s="3"/>
      <c r="K1051" s="3"/>
      <c r="L1051" s="3"/>
      <c r="O1051" s="11"/>
      <c r="P1051" s="3"/>
      <c r="Q1051" s="9"/>
    </row>
    <row r="1052" spans="2:17" x14ac:dyDescent="0.25">
      <c r="B1052" s="1"/>
      <c r="E1052" s="3"/>
      <c r="F1052" s="3"/>
      <c r="G1052" s="3"/>
      <c r="H1052" s="3"/>
      <c r="K1052" s="3"/>
      <c r="L1052" s="3"/>
      <c r="O1052" s="11"/>
      <c r="P1052" s="3"/>
      <c r="Q1052" s="9"/>
    </row>
    <row r="1053" spans="2:17" x14ac:dyDescent="0.25">
      <c r="B1053" s="1"/>
      <c r="E1053" s="3"/>
      <c r="F1053" s="3"/>
      <c r="G1053" s="3"/>
      <c r="H1053" s="3"/>
      <c r="K1053" s="3"/>
      <c r="L1053" s="3"/>
      <c r="O1053" s="11"/>
      <c r="P1053" s="3"/>
      <c r="Q1053" s="9"/>
    </row>
    <row r="1054" spans="2:17" x14ac:dyDescent="0.25">
      <c r="B1054" s="1"/>
      <c r="E1054" s="3"/>
      <c r="F1054" s="3"/>
      <c r="G1054" s="3"/>
      <c r="H1054" s="3"/>
      <c r="K1054" s="3"/>
      <c r="L1054" s="3"/>
      <c r="O1054" s="11"/>
      <c r="P1054" s="3"/>
      <c r="Q1054" s="9"/>
    </row>
    <row r="1055" spans="2:17" x14ac:dyDescent="0.25">
      <c r="B1055" s="1"/>
      <c r="E1055" s="3"/>
      <c r="F1055" s="3"/>
      <c r="G1055" s="3"/>
      <c r="H1055" s="3"/>
      <c r="K1055" s="3"/>
      <c r="L1055" s="3"/>
      <c r="O1055" s="11"/>
      <c r="P1055" s="3"/>
      <c r="Q1055" s="9"/>
    </row>
    <row r="1056" spans="2:17" x14ac:dyDescent="0.25">
      <c r="B1056" s="1"/>
      <c r="E1056" s="3"/>
      <c r="F1056" s="3"/>
      <c r="G1056" s="3"/>
      <c r="H1056" s="3"/>
      <c r="K1056" s="3"/>
      <c r="L1056" s="3"/>
      <c r="O1056" s="11"/>
      <c r="P1056" s="3"/>
      <c r="Q1056" s="9"/>
    </row>
    <row r="1057" spans="2:17" x14ac:dyDescent="0.25">
      <c r="B1057" s="1"/>
      <c r="E1057" s="3"/>
      <c r="F1057" s="3"/>
      <c r="G1057" s="3"/>
      <c r="H1057" s="3"/>
      <c r="K1057" s="3"/>
      <c r="L1057" s="3"/>
      <c r="O1057" s="11"/>
      <c r="P1057" s="3"/>
      <c r="Q1057" s="9"/>
    </row>
    <row r="1058" spans="2:17" x14ac:dyDescent="0.25">
      <c r="B1058" s="1"/>
      <c r="E1058" s="3"/>
      <c r="F1058" s="3"/>
      <c r="G1058" s="3"/>
      <c r="H1058" s="3"/>
      <c r="K1058" s="3"/>
      <c r="L1058" s="3"/>
      <c r="O1058" s="11"/>
      <c r="P1058" s="3"/>
      <c r="Q1058" s="9"/>
    </row>
    <row r="1059" spans="2:17" x14ac:dyDescent="0.25">
      <c r="B1059" s="1"/>
      <c r="E1059" s="3"/>
      <c r="F1059" s="3"/>
      <c r="G1059" s="3"/>
      <c r="H1059" s="3"/>
      <c r="K1059" s="3"/>
      <c r="L1059" s="3"/>
      <c r="O1059" s="11"/>
      <c r="P1059" s="3"/>
      <c r="Q1059" s="9"/>
    </row>
    <row r="1060" spans="2:17" x14ac:dyDescent="0.25">
      <c r="B1060" s="1"/>
      <c r="E1060" s="3"/>
      <c r="F1060" s="3"/>
      <c r="G1060" s="3"/>
      <c r="H1060" s="3"/>
      <c r="K1060" s="3"/>
      <c r="L1060" s="3"/>
      <c r="O1060" s="11"/>
      <c r="P1060" s="3"/>
      <c r="Q1060" s="9"/>
    </row>
    <row r="1061" spans="2:17" x14ac:dyDescent="0.25">
      <c r="B1061" s="1"/>
      <c r="E1061" s="3"/>
      <c r="F1061" s="3"/>
      <c r="G1061" s="3"/>
      <c r="H1061" s="3"/>
      <c r="K1061" s="3"/>
      <c r="L1061" s="3"/>
      <c r="O1061" s="11"/>
      <c r="P1061" s="3"/>
      <c r="Q1061" s="9"/>
    </row>
    <row r="1062" spans="2:17" x14ac:dyDescent="0.25">
      <c r="B1062" s="1"/>
      <c r="E1062" s="3"/>
      <c r="F1062" s="3"/>
      <c r="G1062" s="3"/>
      <c r="H1062" s="3"/>
      <c r="K1062" s="3"/>
      <c r="L1062" s="3"/>
      <c r="O1062" s="11"/>
      <c r="P1062" s="3"/>
      <c r="Q1062" s="9"/>
    </row>
    <row r="1063" spans="2:17" x14ac:dyDescent="0.25">
      <c r="B1063" s="1"/>
      <c r="E1063" s="3"/>
      <c r="F1063" s="3"/>
      <c r="G1063" s="3"/>
      <c r="H1063" s="3"/>
      <c r="K1063" s="3"/>
      <c r="L1063" s="3"/>
      <c r="O1063" s="11"/>
      <c r="P1063" s="3"/>
      <c r="Q1063" s="9"/>
    </row>
    <row r="1064" spans="2:17" x14ac:dyDescent="0.25">
      <c r="B1064" s="1"/>
      <c r="E1064" s="3"/>
      <c r="F1064" s="3"/>
      <c r="G1064" s="3"/>
      <c r="H1064" s="3"/>
      <c r="K1064" s="3"/>
      <c r="L1064" s="3"/>
      <c r="O1064" s="11"/>
      <c r="P1064" s="3"/>
      <c r="Q1064" s="9"/>
    </row>
    <row r="1065" spans="2:17" x14ac:dyDescent="0.25">
      <c r="B1065" s="1"/>
      <c r="E1065" s="3"/>
      <c r="F1065" s="3"/>
      <c r="G1065" s="3"/>
      <c r="H1065" s="3"/>
      <c r="K1065" s="3"/>
      <c r="L1065" s="3"/>
      <c r="O1065" s="11"/>
      <c r="P1065" s="3"/>
      <c r="Q1065" s="9"/>
    </row>
    <row r="1066" spans="2:17" x14ac:dyDescent="0.25">
      <c r="B1066" s="1"/>
      <c r="E1066" s="3"/>
      <c r="F1066" s="3"/>
      <c r="G1066" s="3"/>
      <c r="H1066" s="3"/>
      <c r="K1066" s="3"/>
      <c r="L1066" s="3"/>
      <c r="O1066" s="11"/>
      <c r="P1066" s="3"/>
      <c r="Q1066" s="9"/>
    </row>
    <row r="1067" spans="2:17" x14ac:dyDescent="0.25">
      <c r="B1067" s="1"/>
      <c r="E1067" s="3"/>
      <c r="F1067" s="3"/>
      <c r="G1067" s="3"/>
      <c r="H1067" s="3"/>
      <c r="K1067" s="3"/>
      <c r="L1067" s="3"/>
      <c r="O1067" s="11"/>
      <c r="P1067" s="3"/>
      <c r="Q1067" s="9"/>
    </row>
    <row r="1068" spans="2:17" x14ac:dyDescent="0.25">
      <c r="B1068" s="1"/>
      <c r="E1068" s="3"/>
      <c r="F1068" s="3"/>
      <c r="G1068" s="3"/>
      <c r="H1068" s="3"/>
      <c r="K1068" s="3"/>
      <c r="L1068" s="3"/>
      <c r="O1068" s="11"/>
      <c r="P1068" s="3"/>
      <c r="Q1068" s="9"/>
    </row>
    <row r="1069" spans="2:17" x14ac:dyDescent="0.25">
      <c r="B1069" s="1"/>
      <c r="E1069" s="3"/>
      <c r="F1069" s="3"/>
      <c r="G1069" s="3"/>
      <c r="H1069" s="3"/>
      <c r="K1069" s="3"/>
      <c r="L1069" s="3"/>
      <c r="O1069" s="11"/>
      <c r="P1069" s="3"/>
      <c r="Q1069" s="9"/>
    </row>
    <row r="1070" spans="2:17" x14ac:dyDescent="0.25">
      <c r="B1070" s="1"/>
      <c r="E1070" s="3"/>
      <c r="F1070" s="3"/>
      <c r="G1070" s="3"/>
      <c r="H1070" s="3"/>
      <c r="K1070" s="3"/>
      <c r="L1070" s="3"/>
      <c r="O1070" s="11"/>
      <c r="P1070" s="3"/>
      <c r="Q1070" s="9"/>
    </row>
    <row r="1071" spans="2:17" x14ac:dyDescent="0.25">
      <c r="B1071" s="1"/>
      <c r="E1071" s="3"/>
      <c r="F1071" s="3"/>
      <c r="G1071" s="3"/>
      <c r="H1071" s="3"/>
      <c r="K1071" s="3"/>
      <c r="L1071" s="3"/>
      <c r="O1071" s="11"/>
      <c r="P1071" s="3"/>
      <c r="Q1071" s="9"/>
    </row>
    <row r="1072" spans="2:17" x14ac:dyDescent="0.25">
      <c r="B1072" s="1"/>
      <c r="E1072" s="3"/>
      <c r="F1072" s="3"/>
      <c r="G1072" s="3"/>
      <c r="H1072" s="3"/>
      <c r="K1072" s="3"/>
      <c r="L1072" s="3"/>
      <c r="O1072" s="11"/>
      <c r="P1072" s="3"/>
      <c r="Q1072" s="9"/>
    </row>
    <row r="1073" spans="2:17" x14ac:dyDescent="0.25">
      <c r="B1073" s="1"/>
      <c r="E1073" s="3"/>
      <c r="F1073" s="3"/>
      <c r="G1073" s="3"/>
      <c r="H1073" s="3"/>
      <c r="K1073" s="3"/>
      <c r="L1073" s="3"/>
      <c r="O1073" s="11"/>
      <c r="P1073" s="3"/>
      <c r="Q1073" s="9"/>
    </row>
    <row r="1074" spans="2:17" x14ac:dyDescent="0.25">
      <c r="B1074" s="1"/>
      <c r="E1074" s="3"/>
      <c r="F1074" s="3"/>
      <c r="G1074" s="3"/>
      <c r="H1074" s="3"/>
      <c r="K1074" s="3"/>
      <c r="L1074" s="3"/>
      <c r="O1074" s="11"/>
      <c r="P1074" s="3"/>
      <c r="Q1074" s="9"/>
    </row>
    <row r="1075" spans="2:17" x14ac:dyDescent="0.25">
      <c r="B1075" s="1"/>
      <c r="E1075" s="3"/>
      <c r="F1075" s="3"/>
      <c r="G1075" s="3"/>
      <c r="H1075" s="3"/>
      <c r="K1075" s="3"/>
      <c r="L1075" s="3"/>
      <c r="O1075" s="11"/>
      <c r="P1075" s="3"/>
      <c r="Q1075" s="9"/>
    </row>
    <row r="1076" spans="2:17" x14ac:dyDescent="0.25">
      <c r="B1076" s="1"/>
      <c r="E1076" s="3"/>
      <c r="F1076" s="3"/>
      <c r="G1076" s="3"/>
      <c r="H1076" s="3"/>
      <c r="K1076" s="3"/>
      <c r="L1076" s="3"/>
      <c r="O1076" s="11"/>
      <c r="P1076" s="3"/>
      <c r="Q1076" s="9"/>
    </row>
    <row r="1077" spans="2:17" x14ac:dyDescent="0.25">
      <c r="B1077" s="1"/>
      <c r="E1077" s="3"/>
      <c r="F1077" s="3"/>
      <c r="G1077" s="3"/>
      <c r="H1077" s="3"/>
      <c r="K1077" s="3"/>
      <c r="L1077" s="3"/>
      <c r="O1077" s="11"/>
      <c r="P1077" s="3"/>
      <c r="Q1077" s="9"/>
    </row>
    <row r="1078" spans="2:17" x14ac:dyDescent="0.25">
      <c r="B1078" s="1"/>
      <c r="E1078" s="3"/>
      <c r="F1078" s="3"/>
      <c r="G1078" s="3"/>
      <c r="H1078" s="3"/>
      <c r="K1078" s="3"/>
      <c r="L1078" s="3"/>
      <c r="O1078" s="11"/>
      <c r="P1078" s="3"/>
      <c r="Q1078" s="9"/>
    </row>
    <row r="1079" spans="2:17" x14ac:dyDescent="0.25">
      <c r="B1079" s="1"/>
      <c r="E1079" s="3"/>
      <c r="F1079" s="3"/>
      <c r="G1079" s="3"/>
      <c r="H1079" s="3"/>
      <c r="K1079" s="3"/>
      <c r="L1079" s="3"/>
      <c r="O1079" s="11"/>
      <c r="P1079" s="3"/>
      <c r="Q1079" s="9"/>
    </row>
    <row r="1080" spans="2:17" x14ac:dyDescent="0.25">
      <c r="B1080" s="1"/>
      <c r="E1080" s="3"/>
      <c r="F1080" s="3"/>
      <c r="G1080" s="3"/>
      <c r="H1080" s="3"/>
      <c r="K1080" s="3"/>
      <c r="L1080" s="3"/>
      <c r="O1080" s="11"/>
      <c r="P1080" s="3"/>
      <c r="Q1080" s="9"/>
    </row>
    <row r="1081" spans="2:17" x14ac:dyDescent="0.25">
      <c r="B1081" s="1"/>
      <c r="E1081" s="3"/>
      <c r="F1081" s="3"/>
      <c r="G1081" s="3"/>
      <c r="H1081" s="3"/>
      <c r="K1081" s="3"/>
      <c r="L1081" s="3"/>
      <c r="O1081" s="11"/>
      <c r="P1081" s="3"/>
      <c r="Q1081" s="9"/>
    </row>
    <row r="1082" spans="2:17" x14ac:dyDescent="0.25">
      <c r="B1082" s="1"/>
      <c r="E1082" s="3"/>
      <c r="F1082" s="3"/>
      <c r="G1082" s="3"/>
      <c r="H1082" s="3"/>
      <c r="K1082" s="3"/>
      <c r="L1082" s="3"/>
      <c r="O1082" s="11"/>
      <c r="P1082" s="3"/>
      <c r="Q1082" s="9"/>
    </row>
    <row r="1083" spans="2:17" x14ac:dyDescent="0.25">
      <c r="B1083" s="1"/>
      <c r="E1083" s="3"/>
      <c r="F1083" s="3"/>
      <c r="G1083" s="3"/>
      <c r="H1083" s="3"/>
      <c r="K1083" s="3"/>
      <c r="L1083" s="3"/>
      <c r="O1083" s="11"/>
      <c r="P1083" s="3"/>
      <c r="Q1083" s="9"/>
    </row>
    <row r="1084" spans="2:17" x14ac:dyDescent="0.25">
      <c r="B1084" s="1"/>
      <c r="E1084" s="3"/>
      <c r="F1084" s="3"/>
      <c r="G1084" s="3"/>
      <c r="H1084" s="3"/>
      <c r="K1084" s="3"/>
      <c r="L1084" s="3"/>
      <c r="O1084" s="11"/>
      <c r="P1084" s="3"/>
      <c r="Q1084" s="9"/>
    </row>
    <row r="1085" spans="2:17" x14ac:dyDescent="0.25">
      <c r="B1085" s="1"/>
      <c r="E1085" s="3"/>
      <c r="F1085" s="3"/>
      <c r="G1085" s="3"/>
      <c r="H1085" s="3"/>
      <c r="K1085" s="3"/>
      <c r="L1085" s="3"/>
      <c r="O1085" s="11"/>
      <c r="P1085" s="3"/>
      <c r="Q1085" s="9"/>
    </row>
    <row r="1086" spans="2:17" x14ac:dyDescent="0.25">
      <c r="B1086" s="1"/>
      <c r="E1086" s="3"/>
      <c r="F1086" s="3"/>
      <c r="G1086" s="3"/>
      <c r="H1086" s="3"/>
      <c r="K1086" s="3"/>
      <c r="L1086" s="3"/>
      <c r="O1086" s="11"/>
      <c r="P1086" s="3"/>
      <c r="Q1086" s="9"/>
    </row>
    <row r="1087" spans="2:17" x14ac:dyDescent="0.25">
      <c r="B1087" s="1"/>
      <c r="E1087" s="3"/>
      <c r="F1087" s="3"/>
      <c r="G1087" s="3"/>
      <c r="H1087" s="3"/>
      <c r="K1087" s="3"/>
      <c r="L1087" s="3"/>
      <c r="O1087" s="11"/>
      <c r="P1087" s="3"/>
      <c r="Q1087" s="9"/>
    </row>
    <row r="1088" spans="2:17" x14ac:dyDescent="0.25">
      <c r="B1088" s="1"/>
      <c r="E1088" s="3"/>
      <c r="F1088" s="3"/>
      <c r="G1088" s="3"/>
      <c r="H1088" s="3"/>
      <c r="K1088" s="3"/>
      <c r="L1088" s="3"/>
      <c r="O1088" s="11"/>
      <c r="P1088" s="3"/>
      <c r="Q1088" s="9"/>
    </row>
    <row r="1089" spans="2:17" x14ac:dyDescent="0.25">
      <c r="B1089" s="1"/>
      <c r="E1089" s="3"/>
      <c r="F1089" s="3"/>
      <c r="G1089" s="3"/>
      <c r="H1089" s="3"/>
      <c r="K1089" s="3"/>
      <c r="L1089" s="3"/>
      <c r="O1089" s="11"/>
      <c r="P1089" s="3"/>
      <c r="Q1089" s="9"/>
    </row>
    <row r="1090" spans="2:17" x14ac:dyDescent="0.25">
      <c r="B1090" s="1"/>
      <c r="E1090" s="3"/>
      <c r="F1090" s="3"/>
      <c r="G1090" s="3"/>
      <c r="H1090" s="3"/>
      <c r="K1090" s="3"/>
      <c r="L1090" s="3"/>
      <c r="O1090" s="11"/>
      <c r="P1090" s="3"/>
      <c r="Q1090" s="9"/>
    </row>
    <row r="1091" spans="2:17" x14ac:dyDescent="0.25">
      <c r="B1091" s="1"/>
      <c r="E1091" s="3"/>
      <c r="F1091" s="3"/>
      <c r="G1091" s="3"/>
      <c r="H1091" s="3"/>
      <c r="K1091" s="3"/>
      <c r="L1091" s="3"/>
      <c r="O1091" s="11"/>
      <c r="P1091" s="3"/>
      <c r="Q1091" s="9"/>
    </row>
    <row r="1092" spans="2:17" x14ac:dyDescent="0.25">
      <c r="B1092" s="1"/>
      <c r="E1092" s="3"/>
      <c r="F1092" s="3"/>
      <c r="G1092" s="3"/>
      <c r="H1092" s="3"/>
      <c r="K1092" s="3"/>
      <c r="L1092" s="3"/>
      <c r="O1092" s="11"/>
      <c r="P1092" s="3"/>
      <c r="Q1092" s="9"/>
    </row>
    <row r="1093" spans="2:17" x14ac:dyDescent="0.25">
      <c r="B1093" s="1"/>
      <c r="E1093" s="3"/>
      <c r="F1093" s="3"/>
      <c r="G1093" s="3"/>
      <c r="H1093" s="3"/>
      <c r="K1093" s="3"/>
      <c r="L1093" s="3"/>
      <c r="O1093" s="11"/>
      <c r="P1093" s="3"/>
      <c r="Q1093" s="9"/>
    </row>
    <row r="1094" spans="2:17" x14ac:dyDescent="0.25">
      <c r="B1094" s="1"/>
      <c r="E1094" s="3"/>
      <c r="F1094" s="3"/>
      <c r="G1094" s="3"/>
      <c r="H1094" s="3"/>
      <c r="K1094" s="3"/>
      <c r="L1094" s="3"/>
      <c r="O1094" s="11"/>
      <c r="P1094" s="3"/>
      <c r="Q1094" s="9"/>
    </row>
    <row r="1095" spans="2:17" x14ac:dyDescent="0.25">
      <c r="B1095" s="1"/>
      <c r="E1095" s="3"/>
      <c r="F1095" s="3"/>
      <c r="G1095" s="3"/>
      <c r="H1095" s="3"/>
      <c r="K1095" s="3"/>
      <c r="L1095" s="3"/>
      <c r="O1095" s="11"/>
      <c r="P1095" s="3"/>
      <c r="Q1095" s="9"/>
    </row>
    <row r="1096" spans="2:17" x14ac:dyDescent="0.25">
      <c r="B1096" s="1"/>
      <c r="E1096" s="3"/>
      <c r="F1096" s="3"/>
      <c r="G1096" s="3"/>
      <c r="H1096" s="3"/>
      <c r="K1096" s="3"/>
      <c r="L1096" s="3"/>
      <c r="O1096" s="11"/>
      <c r="P1096" s="3"/>
      <c r="Q1096" s="9"/>
    </row>
    <row r="1097" spans="2:17" x14ac:dyDescent="0.25">
      <c r="B1097" s="1"/>
      <c r="E1097" s="3"/>
      <c r="F1097" s="3"/>
      <c r="G1097" s="3"/>
      <c r="H1097" s="3"/>
      <c r="K1097" s="3"/>
      <c r="L1097" s="3"/>
      <c r="O1097" s="11"/>
      <c r="P1097" s="3"/>
      <c r="Q1097" s="9"/>
    </row>
    <row r="1098" spans="2:17" x14ac:dyDescent="0.25">
      <c r="B1098" s="1"/>
      <c r="E1098" s="3"/>
      <c r="F1098" s="3"/>
      <c r="G1098" s="3"/>
      <c r="H1098" s="3"/>
      <c r="K1098" s="3"/>
      <c r="L1098" s="3"/>
      <c r="O1098" s="11"/>
      <c r="P1098" s="3"/>
      <c r="Q1098" s="9"/>
    </row>
    <row r="1099" spans="2:17" x14ac:dyDescent="0.25">
      <c r="B1099" s="1"/>
      <c r="E1099" s="3"/>
      <c r="F1099" s="3"/>
      <c r="G1099" s="3"/>
      <c r="H1099" s="3"/>
      <c r="K1099" s="3"/>
      <c r="L1099" s="3"/>
      <c r="O1099" s="11"/>
      <c r="P1099" s="3"/>
      <c r="Q1099" s="9"/>
    </row>
    <row r="1100" spans="2:17" x14ac:dyDescent="0.25">
      <c r="B1100" s="1"/>
      <c r="E1100" s="3"/>
      <c r="F1100" s="3"/>
      <c r="G1100" s="3"/>
      <c r="H1100" s="3"/>
      <c r="K1100" s="3"/>
      <c r="L1100" s="3"/>
      <c r="O1100" s="11"/>
      <c r="P1100" s="3"/>
      <c r="Q1100" s="9"/>
    </row>
    <row r="1101" spans="2:17" x14ac:dyDescent="0.25">
      <c r="B1101" s="1"/>
      <c r="E1101" s="3"/>
      <c r="F1101" s="3"/>
      <c r="G1101" s="3"/>
      <c r="H1101" s="3"/>
      <c r="K1101" s="3"/>
      <c r="L1101" s="3"/>
      <c r="O1101" s="11"/>
      <c r="P1101" s="3"/>
      <c r="Q1101" s="9"/>
    </row>
    <row r="1102" spans="2:17" x14ac:dyDescent="0.25">
      <c r="B1102" s="1"/>
      <c r="E1102" s="3"/>
      <c r="F1102" s="3"/>
      <c r="G1102" s="3"/>
      <c r="H1102" s="3"/>
      <c r="K1102" s="3"/>
      <c r="L1102" s="3"/>
      <c r="O1102" s="11"/>
      <c r="P1102" s="3"/>
      <c r="Q1102" s="9"/>
    </row>
    <row r="1103" spans="2:17" x14ac:dyDescent="0.25">
      <c r="B1103" s="1"/>
      <c r="E1103" s="3"/>
      <c r="F1103" s="3"/>
      <c r="G1103" s="3"/>
      <c r="H1103" s="3"/>
      <c r="K1103" s="3"/>
      <c r="L1103" s="3"/>
      <c r="O1103" s="11"/>
      <c r="P1103" s="3"/>
      <c r="Q1103" s="9"/>
    </row>
    <row r="1104" spans="2:17" x14ac:dyDescent="0.25">
      <c r="B1104" s="1"/>
      <c r="E1104" s="3"/>
      <c r="F1104" s="3"/>
      <c r="G1104" s="3"/>
      <c r="H1104" s="3"/>
      <c r="K1104" s="3"/>
      <c r="L1104" s="3"/>
      <c r="O1104" s="11"/>
      <c r="P1104" s="3"/>
      <c r="Q1104" s="9"/>
    </row>
    <row r="1105" spans="2:17" x14ac:dyDescent="0.25">
      <c r="B1105" s="1"/>
      <c r="E1105" s="3"/>
      <c r="F1105" s="3"/>
      <c r="G1105" s="3"/>
      <c r="H1105" s="3"/>
      <c r="K1105" s="3"/>
      <c r="L1105" s="3"/>
      <c r="O1105" s="11"/>
      <c r="P1105" s="3"/>
      <c r="Q1105" s="9"/>
    </row>
    <row r="1106" spans="2:17" x14ac:dyDescent="0.25">
      <c r="B1106" s="1"/>
      <c r="E1106" s="3"/>
      <c r="F1106" s="3"/>
      <c r="G1106" s="3"/>
      <c r="H1106" s="3"/>
      <c r="K1106" s="3"/>
      <c r="L1106" s="3"/>
      <c r="O1106" s="11"/>
      <c r="P1106" s="3"/>
      <c r="Q1106" s="9"/>
    </row>
    <row r="1107" spans="2:17" x14ac:dyDescent="0.25">
      <c r="B1107" s="1"/>
      <c r="E1107" s="3"/>
      <c r="F1107" s="3"/>
      <c r="G1107" s="3"/>
      <c r="H1107" s="3"/>
      <c r="K1107" s="3"/>
      <c r="L1107" s="3"/>
      <c r="O1107" s="11"/>
      <c r="P1107" s="3"/>
      <c r="Q1107" s="9"/>
    </row>
    <row r="1108" spans="2:17" x14ac:dyDescent="0.25">
      <c r="B1108" s="1"/>
      <c r="E1108" s="3"/>
      <c r="F1108" s="3"/>
      <c r="G1108" s="3"/>
      <c r="H1108" s="3"/>
      <c r="K1108" s="3"/>
      <c r="L1108" s="3"/>
      <c r="O1108" s="11"/>
      <c r="P1108" s="3"/>
      <c r="Q1108" s="9"/>
    </row>
    <row r="1109" spans="2:17" x14ac:dyDescent="0.25">
      <c r="B1109" s="1"/>
      <c r="E1109" s="3"/>
      <c r="F1109" s="3"/>
      <c r="G1109" s="3"/>
      <c r="H1109" s="3"/>
      <c r="K1109" s="3"/>
      <c r="L1109" s="3"/>
      <c r="O1109" s="11"/>
      <c r="P1109" s="3"/>
      <c r="Q1109" s="9"/>
    </row>
    <row r="1110" spans="2:17" x14ac:dyDescent="0.25">
      <c r="B1110" s="1"/>
      <c r="E1110" s="3"/>
      <c r="F1110" s="3"/>
      <c r="G1110" s="3"/>
      <c r="H1110" s="3"/>
      <c r="K1110" s="3"/>
      <c r="L1110" s="3"/>
      <c r="O1110" s="11"/>
      <c r="P1110" s="3"/>
      <c r="Q1110" s="9"/>
    </row>
    <row r="1111" spans="2:17" x14ac:dyDescent="0.25">
      <c r="B1111" s="1"/>
      <c r="E1111" s="3"/>
      <c r="F1111" s="3"/>
      <c r="G1111" s="3"/>
      <c r="H1111" s="3"/>
      <c r="K1111" s="3"/>
      <c r="L1111" s="3"/>
      <c r="O1111" s="11"/>
      <c r="P1111" s="3"/>
      <c r="Q1111" s="9"/>
    </row>
    <row r="1112" spans="2:17" x14ac:dyDescent="0.25">
      <c r="B1112" s="1"/>
      <c r="E1112" s="3"/>
      <c r="F1112" s="3"/>
      <c r="G1112" s="3"/>
      <c r="H1112" s="3"/>
      <c r="K1112" s="3"/>
      <c r="L1112" s="3"/>
      <c r="O1112" s="11"/>
      <c r="P1112" s="3"/>
      <c r="Q1112" s="9"/>
    </row>
    <row r="1113" spans="2:17" x14ac:dyDescent="0.25">
      <c r="B1113" s="1"/>
      <c r="E1113" s="3"/>
      <c r="F1113" s="3"/>
      <c r="G1113" s="3"/>
      <c r="H1113" s="3"/>
      <c r="K1113" s="3"/>
      <c r="L1113" s="3"/>
      <c r="O1113" s="11"/>
      <c r="P1113" s="3"/>
      <c r="Q1113" s="9"/>
    </row>
    <row r="1114" spans="2:17" x14ac:dyDescent="0.25">
      <c r="B1114" s="1"/>
      <c r="E1114" s="3"/>
      <c r="F1114" s="3"/>
      <c r="G1114" s="3"/>
      <c r="H1114" s="3"/>
      <c r="K1114" s="3"/>
      <c r="L1114" s="3"/>
      <c r="O1114" s="11"/>
      <c r="P1114" s="3"/>
      <c r="Q1114" s="9"/>
    </row>
    <row r="1115" spans="2:17" x14ac:dyDescent="0.25">
      <c r="B1115" s="1"/>
      <c r="E1115" s="3"/>
      <c r="F1115" s="3"/>
      <c r="G1115" s="3"/>
      <c r="H1115" s="3"/>
      <c r="K1115" s="3"/>
      <c r="L1115" s="3"/>
      <c r="O1115" s="11"/>
      <c r="P1115" s="3"/>
      <c r="Q1115" s="9"/>
    </row>
    <row r="1116" spans="2:17" x14ac:dyDescent="0.25">
      <c r="B1116" s="1"/>
      <c r="E1116" s="3"/>
      <c r="F1116" s="3"/>
      <c r="G1116" s="3"/>
      <c r="H1116" s="3"/>
      <c r="K1116" s="3"/>
      <c r="L1116" s="3"/>
      <c r="O1116" s="11"/>
      <c r="P1116" s="3"/>
      <c r="Q1116" s="9"/>
    </row>
    <row r="1117" spans="2:17" x14ac:dyDescent="0.25">
      <c r="B1117" s="1"/>
      <c r="E1117" s="3"/>
      <c r="F1117" s="3"/>
      <c r="G1117" s="3"/>
      <c r="H1117" s="3"/>
      <c r="K1117" s="3"/>
      <c r="L1117" s="3"/>
      <c r="O1117" s="11"/>
      <c r="P1117" s="3"/>
      <c r="Q1117" s="9"/>
    </row>
    <row r="1118" spans="2:17" x14ac:dyDescent="0.25">
      <c r="B1118" s="1"/>
      <c r="E1118" s="3"/>
      <c r="F1118" s="3"/>
      <c r="G1118" s="3"/>
      <c r="H1118" s="3"/>
      <c r="K1118" s="3"/>
      <c r="L1118" s="3"/>
      <c r="O1118" s="11"/>
      <c r="P1118" s="3"/>
      <c r="Q1118" s="9"/>
    </row>
    <row r="1119" spans="2:17" x14ac:dyDescent="0.25">
      <c r="B1119" s="1"/>
      <c r="E1119" s="3"/>
      <c r="F1119" s="3"/>
      <c r="G1119" s="3"/>
      <c r="H1119" s="3"/>
      <c r="K1119" s="3"/>
      <c r="L1119" s="3"/>
      <c r="O1119" s="11"/>
      <c r="P1119" s="3"/>
      <c r="Q1119" s="9"/>
    </row>
    <row r="1120" spans="2:17" x14ac:dyDescent="0.25">
      <c r="B1120" s="1"/>
      <c r="E1120" s="3"/>
      <c r="F1120" s="3"/>
      <c r="G1120" s="3"/>
      <c r="H1120" s="3"/>
      <c r="K1120" s="3"/>
      <c r="L1120" s="3"/>
      <c r="O1120" s="11"/>
      <c r="P1120" s="3"/>
      <c r="Q1120" s="9"/>
    </row>
    <row r="1121" spans="2:17" x14ac:dyDescent="0.25">
      <c r="B1121" s="1"/>
      <c r="E1121" s="3"/>
      <c r="F1121" s="3"/>
      <c r="G1121" s="3"/>
      <c r="H1121" s="3"/>
      <c r="K1121" s="3"/>
      <c r="L1121" s="3"/>
      <c r="O1121" s="11"/>
      <c r="P1121" s="3"/>
      <c r="Q1121" s="9"/>
    </row>
    <row r="1122" spans="2:17" x14ac:dyDescent="0.25">
      <c r="B1122" s="1"/>
      <c r="E1122" s="3"/>
      <c r="F1122" s="3"/>
      <c r="G1122" s="3"/>
      <c r="H1122" s="3"/>
      <c r="K1122" s="3"/>
      <c r="L1122" s="3"/>
      <c r="O1122" s="11"/>
      <c r="P1122" s="3"/>
      <c r="Q1122" s="9"/>
    </row>
    <row r="1123" spans="2:17" x14ac:dyDescent="0.25">
      <c r="B1123" s="1"/>
      <c r="E1123" s="3"/>
      <c r="F1123" s="3"/>
      <c r="G1123" s="3"/>
      <c r="H1123" s="3"/>
      <c r="K1123" s="3"/>
      <c r="L1123" s="3"/>
      <c r="O1123" s="11"/>
      <c r="P1123" s="3"/>
      <c r="Q1123" s="9"/>
    </row>
    <row r="1124" spans="2:17" x14ac:dyDescent="0.25">
      <c r="B1124" s="1"/>
      <c r="E1124" s="3"/>
      <c r="F1124" s="3"/>
      <c r="G1124" s="3"/>
      <c r="H1124" s="3"/>
      <c r="K1124" s="3"/>
      <c r="L1124" s="3"/>
      <c r="O1124" s="11"/>
      <c r="P1124" s="3"/>
      <c r="Q1124" s="9"/>
    </row>
    <row r="1125" spans="2:17" x14ac:dyDescent="0.25">
      <c r="B1125" s="1"/>
      <c r="E1125" s="3"/>
      <c r="F1125" s="3"/>
      <c r="G1125" s="3"/>
      <c r="H1125" s="3"/>
      <c r="K1125" s="3"/>
      <c r="L1125" s="3"/>
      <c r="O1125" s="11"/>
      <c r="P1125" s="3"/>
      <c r="Q1125" s="9"/>
    </row>
    <row r="1126" spans="2:17" x14ac:dyDescent="0.25">
      <c r="B1126" s="1"/>
      <c r="E1126" s="3"/>
      <c r="F1126" s="3"/>
      <c r="G1126" s="3"/>
      <c r="H1126" s="3"/>
      <c r="K1126" s="3"/>
      <c r="L1126" s="3"/>
      <c r="O1126" s="11"/>
      <c r="P1126" s="3"/>
      <c r="Q1126" s="9"/>
    </row>
    <row r="1127" spans="2:17" x14ac:dyDescent="0.25">
      <c r="B1127" s="1"/>
      <c r="E1127" s="3"/>
      <c r="F1127" s="3"/>
      <c r="G1127" s="3"/>
      <c r="H1127" s="3"/>
      <c r="K1127" s="3"/>
      <c r="L1127" s="3"/>
      <c r="O1127" s="11"/>
      <c r="P1127" s="3"/>
      <c r="Q1127" s="9"/>
    </row>
    <row r="1128" spans="2:17" x14ac:dyDescent="0.25">
      <c r="B1128" s="1"/>
      <c r="E1128" s="3"/>
      <c r="F1128" s="3"/>
      <c r="G1128" s="3"/>
      <c r="H1128" s="3"/>
      <c r="K1128" s="3"/>
      <c r="L1128" s="3"/>
      <c r="O1128" s="11"/>
      <c r="P1128" s="3"/>
      <c r="Q1128" s="9"/>
    </row>
    <row r="1129" spans="2:17" x14ac:dyDescent="0.25">
      <c r="B1129" s="1"/>
      <c r="E1129" s="3"/>
      <c r="F1129" s="3"/>
      <c r="G1129" s="3"/>
      <c r="H1129" s="3"/>
      <c r="K1129" s="3"/>
      <c r="L1129" s="3"/>
      <c r="O1129" s="11"/>
      <c r="P1129" s="3"/>
      <c r="Q1129" s="9"/>
    </row>
    <row r="1130" spans="2:17" x14ac:dyDescent="0.25">
      <c r="B1130" s="1"/>
      <c r="E1130" s="3"/>
      <c r="F1130" s="3"/>
      <c r="G1130" s="3"/>
      <c r="H1130" s="3"/>
      <c r="K1130" s="3"/>
      <c r="L1130" s="3"/>
      <c r="O1130" s="11"/>
      <c r="P1130" s="3"/>
      <c r="Q1130" s="9"/>
    </row>
    <row r="1131" spans="2:17" x14ac:dyDescent="0.25">
      <c r="B1131" s="1"/>
      <c r="E1131" s="3"/>
      <c r="F1131" s="3"/>
      <c r="G1131" s="3"/>
      <c r="H1131" s="3"/>
      <c r="K1131" s="3"/>
      <c r="L1131" s="3"/>
      <c r="O1131" s="11"/>
      <c r="P1131" s="3"/>
      <c r="Q1131" s="9"/>
    </row>
    <row r="1132" spans="2:17" x14ac:dyDescent="0.25">
      <c r="B1132" s="1"/>
      <c r="E1132" s="3"/>
      <c r="F1132" s="3"/>
      <c r="G1132" s="3"/>
      <c r="H1132" s="3"/>
      <c r="K1132" s="3"/>
      <c r="L1132" s="3"/>
      <c r="O1132" s="11"/>
      <c r="P1132" s="3"/>
      <c r="Q1132" s="9"/>
    </row>
    <row r="1133" spans="2:17" x14ac:dyDescent="0.25">
      <c r="B1133" s="1"/>
      <c r="E1133" s="3"/>
      <c r="F1133" s="3"/>
      <c r="G1133" s="3"/>
      <c r="H1133" s="3"/>
      <c r="K1133" s="3"/>
      <c r="L1133" s="3"/>
      <c r="O1133" s="11"/>
      <c r="P1133" s="3"/>
      <c r="Q1133" s="9"/>
    </row>
    <row r="1134" spans="2:17" x14ac:dyDescent="0.25">
      <c r="B1134" s="1"/>
      <c r="E1134" s="3"/>
      <c r="F1134" s="3"/>
      <c r="G1134" s="3"/>
      <c r="H1134" s="3"/>
      <c r="K1134" s="3"/>
      <c r="L1134" s="3"/>
      <c r="O1134" s="11"/>
      <c r="P1134" s="3"/>
      <c r="Q1134" s="9"/>
    </row>
    <row r="1135" spans="2:17" x14ac:dyDescent="0.25">
      <c r="B1135" s="1"/>
      <c r="E1135" s="3"/>
      <c r="F1135" s="3"/>
      <c r="G1135" s="3"/>
      <c r="H1135" s="3"/>
      <c r="K1135" s="3"/>
      <c r="L1135" s="3"/>
      <c r="O1135" s="11"/>
      <c r="P1135" s="3"/>
      <c r="Q1135" s="9"/>
    </row>
    <row r="1136" spans="2:17" x14ac:dyDescent="0.25">
      <c r="B1136" s="1"/>
      <c r="E1136" s="3"/>
      <c r="F1136" s="3"/>
      <c r="G1136" s="3"/>
      <c r="H1136" s="3"/>
      <c r="K1136" s="3"/>
      <c r="L1136" s="3"/>
      <c r="O1136" s="11"/>
      <c r="P1136" s="3"/>
      <c r="Q1136" s="9"/>
    </row>
    <row r="1137" spans="2:17" x14ac:dyDescent="0.25">
      <c r="B1137" s="1"/>
      <c r="E1137" s="3"/>
      <c r="F1137" s="3"/>
      <c r="G1137" s="3"/>
      <c r="H1137" s="3"/>
      <c r="K1137" s="3"/>
      <c r="L1137" s="3"/>
      <c r="O1137" s="11"/>
      <c r="P1137" s="3"/>
      <c r="Q1137" s="9"/>
    </row>
    <row r="1138" spans="2:17" x14ac:dyDescent="0.25">
      <c r="B1138" s="1"/>
      <c r="E1138" s="3"/>
      <c r="F1138" s="3"/>
      <c r="G1138" s="3"/>
      <c r="H1138" s="3"/>
      <c r="K1138" s="3"/>
      <c r="L1138" s="3"/>
      <c r="O1138" s="11"/>
      <c r="P1138" s="3"/>
      <c r="Q1138" s="9"/>
    </row>
    <row r="1139" spans="2:17" x14ac:dyDescent="0.25">
      <c r="B1139" s="1"/>
      <c r="E1139" s="3"/>
      <c r="F1139" s="3"/>
      <c r="G1139" s="3"/>
      <c r="H1139" s="3"/>
      <c r="K1139" s="3"/>
      <c r="L1139" s="3"/>
      <c r="O1139" s="11"/>
      <c r="P1139" s="3"/>
      <c r="Q1139" s="9"/>
    </row>
    <row r="1140" spans="2:17" x14ac:dyDescent="0.25">
      <c r="B1140" s="1"/>
      <c r="E1140" s="3"/>
      <c r="F1140" s="3"/>
      <c r="G1140" s="3"/>
      <c r="H1140" s="3"/>
      <c r="K1140" s="3"/>
      <c r="L1140" s="3"/>
      <c r="O1140" s="11"/>
      <c r="P1140" s="3"/>
      <c r="Q1140" s="9"/>
    </row>
    <row r="1141" spans="2:17" x14ac:dyDescent="0.25">
      <c r="B1141" s="1"/>
      <c r="E1141" s="3"/>
      <c r="F1141" s="3"/>
      <c r="G1141" s="3"/>
      <c r="H1141" s="3"/>
      <c r="K1141" s="3"/>
      <c r="L1141" s="3"/>
      <c r="O1141" s="11"/>
      <c r="P1141" s="3"/>
      <c r="Q1141" s="9"/>
    </row>
    <row r="1142" spans="2:17" x14ac:dyDescent="0.25">
      <c r="B1142" s="1"/>
      <c r="E1142" s="3"/>
      <c r="F1142" s="3"/>
      <c r="G1142" s="3"/>
      <c r="H1142" s="3"/>
      <c r="K1142" s="3"/>
      <c r="L1142" s="3"/>
      <c r="O1142" s="11"/>
      <c r="P1142" s="3"/>
      <c r="Q1142" s="9"/>
    </row>
    <row r="1143" spans="2:17" x14ac:dyDescent="0.25">
      <c r="B1143" s="1"/>
      <c r="E1143" s="3"/>
      <c r="F1143" s="3"/>
      <c r="G1143" s="3"/>
      <c r="H1143" s="3"/>
      <c r="K1143" s="3"/>
      <c r="L1143" s="3"/>
      <c r="O1143" s="11"/>
      <c r="P1143" s="3"/>
      <c r="Q1143" s="9"/>
    </row>
    <row r="1144" spans="2:17" x14ac:dyDescent="0.25">
      <c r="B1144" s="1"/>
      <c r="E1144" s="3"/>
      <c r="F1144" s="3"/>
      <c r="G1144" s="3"/>
      <c r="H1144" s="3"/>
      <c r="K1144" s="3"/>
      <c r="L1144" s="3"/>
      <c r="O1144" s="11"/>
      <c r="P1144" s="3"/>
      <c r="Q1144" s="9"/>
    </row>
    <row r="1145" spans="2:17" x14ac:dyDescent="0.25">
      <c r="B1145" s="1"/>
      <c r="E1145" s="3"/>
      <c r="F1145" s="3"/>
      <c r="G1145" s="3"/>
      <c r="H1145" s="3"/>
      <c r="K1145" s="3"/>
      <c r="L1145" s="3"/>
      <c r="O1145" s="11"/>
      <c r="P1145" s="3"/>
      <c r="Q1145" s="9"/>
    </row>
    <row r="1146" spans="2:17" x14ac:dyDescent="0.25">
      <c r="B1146" s="1"/>
      <c r="E1146" s="3"/>
      <c r="F1146" s="3"/>
      <c r="G1146" s="3"/>
      <c r="H1146" s="3"/>
      <c r="K1146" s="3"/>
      <c r="L1146" s="3"/>
      <c r="O1146" s="11"/>
      <c r="P1146" s="3"/>
      <c r="Q1146" s="9"/>
    </row>
    <row r="1147" spans="2:17" x14ac:dyDescent="0.25">
      <c r="B1147" s="1"/>
      <c r="E1147" s="3"/>
      <c r="F1147" s="3"/>
      <c r="G1147" s="3"/>
      <c r="H1147" s="3"/>
      <c r="K1147" s="3"/>
      <c r="L1147" s="3"/>
      <c r="O1147" s="11"/>
      <c r="P1147" s="3"/>
      <c r="Q1147" s="9"/>
    </row>
    <row r="1148" spans="2:17" x14ac:dyDescent="0.25">
      <c r="B1148" s="1"/>
      <c r="E1148" s="3"/>
      <c r="F1148" s="3"/>
      <c r="G1148" s="3"/>
      <c r="H1148" s="3"/>
      <c r="K1148" s="3"/>
      <c r="L1148" s="3"/>
      <c r="O1148" s="11"/>
      <c r="P1148" s="3"/>
      <c r="Q1148" s="9"/>
    </row>
    <row r="1149" spans="2:17" x14ac:dyDescent="0.25">
      <c r="B1149" s="1"/>
      <c r="E1149" s="3"/>
      <c r="F1149" s="3"/>
      <c r="G1149" s="3"/>
      <c r="H1149" s="3"/>
      <c r="K1149" s="3"/>
      <c r="L1149" s="3"/>
      <c r="O1149" s="11"/>
      <c r="P1149" s="3"/>
      <c r="Q1149" s="9"/>
    </row>
    <row r="1150" spans="2:17" x14ac:dyDescent="0.25">
      <c r="B1150" s="1"/>
      <c r="E1150" s="3"/>
      <c r="F1150" s="3"/>
      <c r="G1150" s="3"/>
      <c r="H1150" s="3"/>
      <c r="K1150" s="3"/>
      <c r="L1150" s="3"/>
      <c r="O1150" s="11"/>
      <c r="P1150" s="3"/>
      <c r="Q1150" s="9"/>
    </row>
    <row r="1151" spans="2:17" x14ac:dyDescent="0.25">
      <c r="B1151" s="1"/>
      <c r="E1151" s="3"/>
      <c r="F1151" s="3"/>
      <c r="G1151" s="3"/>
      <c r="H1151" s="3"/>
      <c r="K1151" s="3"/>
      <c r="L1151" s="3"/>
      <c r="O1151" s="11"/>
      <c r="P1151" s="3"/>
      <c r="Q1151" s="9"/>
    </row>
    <row r="1152" spans="2:17" x14ac:dyDescent="0.25">
      <c r="B1152" s="1"/>
      <c r="E1152" s="3"/>
      <c r="F1152" s="3"/>
      <c r="G1152" s="3"/>
      <c r="H1152" s="3"/>
      <c r="K1152" s="3"/>
      <c r="L1152" s="3"/>
      <c r="O1152" s="11"/>
      <c r="P1152" s="3"/>
      <c r="Q1152" s="9"/>
    </row>
    <row r="1153" spans="2:17" x14ac:dyDescent="0.25">
      <c r="B1153" s="1"/>
      <c r="E1153" s="3"/>
      <c r="F1153" s="3"/>
      <c r="G1153" s="3"/>
      <c r="H1153" s="3"/>
      <c r="K1153" s="3"/>
      <c r="L1153" s="3"/>
      <c r="O1153" s="11"/>
      <c r="P1153" s="3"/>
      <c r="Q1153" s="9"/>
    </row>
    <row r="1154" spans="2:17" x14ac:dyDescent="0.25">
      <c r="B1154" s="1"/>
      <c r="E1154" s="3"/>
      <c r="F1154" s="3"/>
      <c r="G1154" s="3"/>
      <c r="H1154" s="3"/>
      <c r="K1154" s="3"/>
      <c r="L1154" s="3"/>
      <c r="O1154" s="11"/>
      <c r="P1154" s="3"/>
      <c r="Q1154" s="9"/>
    </row>
    <row r="1155" spans="2:17" x14ac:dyDescent="0.25">
      <c r="B1155" s="1"/>
      <c r="E1155" s="3"/>
      <c r="F1155" s="3"/>
      <c r="G1155" s="3"/>
      <c r="H1155" s="3"/>
      <c r="K1155" s="3"/>
      <c r="L1155" s="3"/>
      <c r="O1155" s="11"/>
      <c r="P1155" s="3"/>
      <c r="Q1155" s="9"/>
    </row>
    <row r="1156" spans="2:17" x14ac:dyDescent="0.25">
      <c r="B1156" s="1"/>
      <c r="E1156" s="3"/>
      <c r="F1156" s="3"/>
      <c r="G1156" s="3"/>
      <c r="H1156" s="3"/>
      <c r="K1156" s="3"/>
      <c r="L1156" s="3"/>
      <c r="O1156" s="11"/>
      <c r="P1156" s="3"/>
      <c r="Q1156" s="9"/>
    </row>
    <row r="1157" spans="2:17" x14ac:dyDescent="0.25">
      <c r="B1157" s="1"/>
      <c r="E1157" s="3"/>
      <c r="F1157" s="3"/>
      <c r="G1157" s="3"/>
      <c r="H1157" s="3"/>
      <c r="K1157" s="3"/>
      <c r="L1157" s="3"/>
      <c r="O1157" s="11"/>
      <c r="P1157" s="3"/>
      <c r="Q1157" s="9"/>
    </row>
    <row r="1158" spans="2:17" x14ac:dyDescent="0.25">
      <c r="B1158" s="1"/>
      <c r="E1158" s="3"/>
      <c r="F1158" s="3"/>
      <c r="G1158" s="3"/>
      <c r="H1158" s="3"/>
      <c r="K1158" s="3"/>
      <c r="L1158" s="3"/>
      <c r="O1158" s="11"/>
      <c r="P1158" s="3"/>
      <c r="Q1158" s="9"/>
    </row>
    <row r="1159" spans="2:17" x14ac:dyDescent="0.25">
      <c r="B1159" s="1"/>
      <c r="E1159" s="3"/>
      <c r="F1159" s="3"/>
      <c r="G1159" s="3"/>
      <c r="H1159" s="3"/>
      <c r="K1159" s="3"/>
      <c r="L1159" s="3"/>
      <c r="O1159" s="11"/>
      <c r="P1159" s="3"/>
      <c r="Q1159" s="9"/>
    </row>
    <row r="1160" spans="2:17" x14ac:dyDescent="0.25">
      <c r="B1160" s="1"/>
      <c r="E1160" s="3"/>
      <c r="F1160" s="3"/>
      <c r="G1160" s="3"/>
      <c r="H1160" s="3"/>
      <c r="K1160" s="3"/>
      <c r="L1160" s="3"/>
      <c r="O1160" s="11"/>
      <c r="P1160" s="3"/>
      <c r="Q1160" s="9"/>
    </row>
    <row r="1161" spans="2:17" x14ac:dyDescent="0.25">
      <c r="B1161" s="1"/>
      <c r="E1161" s="3"/>
      <c r="F1161" s="3"/>
      <c r="G1161" s="3"/>
      <c r="H1161" s="3"/>
      <c r="K1161" s="3"/>
      <c r="L1161" s="3"/>
      <c r="O1161" s="11"/>
      <c r="P1161" s="3"/>
      <c r="Q1161" s="9"/>
    </row>
    <row r="1162" spans="2:17" x14ac:dyDescent="0.25">
      <c r="B1162" s="1"/>
      <c r="E1162" s="3"/>
      <c r="F1162" s="3"/>
      <c r="G1162" s="3"/>
      <c r="H1162" s="3"/>
      <c r="K1162" s="3"/>
      <c r="L1162" s="3"/>
      <c r="O1162" s="11"/>
      <c r="P1162" s="3"/>
      <c r="Q1162" s="9"/>
    </row>
    <row r="1163" spans="2:17" x14ac:dyDescent="0.25">
      <c r="B1163" s="1"/>
      <c r="E1163" s="3"/>
      <c r="F1163" s="3"/>
      <c r="G1163" s="3"/>
      <c r="H1163" s="3"/>
      <c r="K1163" s="3"/>
      <c r="L1163" s="3"/>
      <c r="O1163" s="11"/>
      <c r="P1163" s="3"/>
      <c r="Q1163" s="9"/>
    </row>
    <row r="1164" spans="2:17" x14ac:dyDescent="0.25">
      <c r="B1164" s="1"/>
      <c r="E1164" s="3"/>
      <c r="F1164" s="3"/>
      <c r="G1164" s="3"/>
      <c r="H1164" s="3"/>
      <c r="K1164" s="3"/>
      <c r="L1164" s="3"/>
      <c r="O1164" s="11"/>
      <c r="P1164" s="3"/>
      <c r="Q1164" s="9"/>
    </row>
    <row r="1165" spans="2:17" x14ac:dyDescent="0.25">
      <c r="B1165" s="1"/>
      <c r="E1165" s="3"/>
      <c r="F1165" s="3"/>
      <c r="G1165" s="3"/>
      <c r="H1165" s="3"/>
      <c r="K1165" s="3"/>
      <c r="L1165" s="3"/>
      <c r="O1165" s="11"/>
      <c r="P1165" s="3"/>
      <c r="Q1165" s="9"/>
    </row>
    <row r="1166" spans="2:17" x14ac:dyDescent="0.25">
      <c r="B1166" s="1"/>
      <c r="E1166" s="3"/>
      <c r="F1166" s="3"/>
      <c r="G1166" s="3"/>
      <c r="H1166" s="3"/>
      <c r="K1166" s="3"/>
      <c r="L1166" s="3"/>
      <c r="O1166" s="11"/>
      <c r="P1166" s="3"/>
      <c r="Q1166" s="9"/>
    </row>
    <row r="1167" spans="2:17" x14ac:dyDescent="0.25">
      <c r="B1167" s="1"/>
      <c r="E1167" s="3"/>
      <c r="F1167" s="3"/>
      <c r="G1167" s="3"/>
      <c r="H1167" s="3"/>
      <c r="K1167" s="3"/>
      <c r="L1167" s="3"/>
      <c r="O1167" s="11"/>
      <c r="P1167" s="3"/>
      <c r="Q1167" s="9"/>
    </row>
    <row r="1168" spans="2:17" x14ac:dyDescent="0.25">
      <c r="B1168" s="1"/>
      <c r="E1168" s="3"/>
      <c r="F1168" s="3"/>
      <c r="G1168" s="3"/>
      <c r="H1168" s="3"/>
      <c r="K1168" s="3"/>
      <c r="L1168" s="3"/>
      <c r="O1168" s="11"/>
      <c r="P1168" s="3"/>
      <c r="Q1168" s="9"/>
    </row>
    <row r="1169" spans="2:17" x14ac:dyDescent="0.25">
      <c r="B1169" s="1"/>
      <c r="E1169" s="3"/>
      <c r="F1169" s="3"/>
      <c r="G1169" s="3"/>
      <c r="H1169" s="3"/>
      <c r="K1169" s="3"/>
      <c r="L1169" s="3"/>
      <c r="O1169" s="11"/>
      <c r="P1169" s="3"/>
      <c r="Q1169" s="9"/>
    </row>
    <row r="1170" spans="2:17" x14ac:dyDescent="0.25">
      <c r="B1170" s="1"/>
      <c r="E1170" s="3"/>
      <c r="F1170" s="3"/>
      <c r="G1170" s="3"/>
      <c r="H1170" s="3"/>
      <c r="K1170" s="3"/>
      <c r="L1170" s="3"/>
      <c r="O1170" s="11"/>
      <c r="P1170" s="3"/>
      <c r="Q1170" s="9"/>
    </row>
    <row r="1171" spans="2:17" x14ac:dyDescent="0.25">
      <c r="B1171" s="1"/>
      <c r="E1171" s="3"/>
      <c r="F1171" s="3"/>
      <c r="G1171" s="3"/>
      <c r="H1171" s="3"/>
      <c r="K1171" s="3"/>
      <c r="L1171" s="3"/>
      <c r="O1171" s="11"/>
      <c r="P1171" s="3"/>
      <c r="Q1171" s="9"/>
    </row>
    <row r="1172" spans="2:17" x14ac:dyDescent="0.25">
      <c r="B1172" s="1"/>
      <c r="E1172" s="3"/>
      <c r="F1172" s="3"/>
      <c r="G1172" s="3"/>
      <c r="H1172" s="3"/>
      <c r="K1172" s="3"/>
      <c r="L1172" s="3"/>
      <c r="O1172" s="11"/>
      <c r="P1172" s="3"/>
      <c r="Q1172" s="9"/>
    </row>
    <row r="1173" spans="2:17" x14ac:dyDescent="0.25">
      <c r="B1173" s="1"/>
      <c r="E1173" s="3"/>
      <c r="F1173" s="3"/>
      <c r="G1173" s="3"/>
      <c r="H1173" s="3"/>
      <c r="K1173" s="3"/>
      <c r="L1173" s="3"/>
      <c r="O1173" s="11"/>
      <c r="P1173" s="3"/>
      <c r="Q1173" s="9"/>
    </row>
    <row r="1174" spans="2:17" x14ac:dyDescent="0.25">
      <c r="B1174" s="1"/>
      <c r="E1174" s="3"/>
      <c r="F1174" s="3"/>
      <c r="G1174" s="3"/>
      <c r="H1174" s="3"/>
      <c r="K1174" s="3"/>
      <c r="L1174" s="3"/>
      <c r="O1174" s="11"/>
      <c r="P1174" s="3"/>
      <c r="Q1174" s="9"/>
    </row>
    <row r="1175" spans="2:17" x14ac:dyDescent="0.25">
      <c r="B1175" s="1"/>
      <c r="E1175" s="3"/>
      <c r="F1175" s="3"/>
      <c r="G1175" s="3"/>
      <c r="H1175" s="3"/>
      <c r="K1175" s="3"/>
      <c r="L1175" s="3"/>
      <c r="O1175" s="11"/>
      <c r="P1175" s="3"/>
      <c r="Q1175" s="9"/>
    </row>
    <row r="1176" spans="2:17" x14ac:dyDescent="0.25">
      <c r="B1176" s="1"/>
      <c r="E1176" s="3"/>
      <c r="F1176" s="3"/>
      <c r="G1176" s="3"/>
      <c r="H1176" s="3"/>
      <c r="K1176" s="3"/>
      <c r="L1176" s="3"/>
      <c r="O1176" s="11"/>
      <c r="P1176" s="3"/>
      <c r="Q1176" s="9"/>
    </row>
    <row r="1177" spans="2:17" x14ac:dyDescent="0.25">
      <c r="B1177" s="1"/>
      <c r="E1177" s="3"/>
      <c r="F1177" s="3"/>
      <c r="G1177" s="3"/>
      <c r="H1177" s="3"/>
      <c r="K1177" s="3"/>
      <c r="L1177" s="3"/>
      <c r="O1177" s="11"/>
      <c r="P1177" s="3"/>
      <c r="Q1177" s="9"/>
    </row>
    <row r="1178" spans="2:17" x14ac:dyDescent="0.25">
      <c r="B1178" s="1"/>
      <c r="E1178" s="3"/>
      <c r="F1178" s="3"/>
      <c r="G1178" s="3"/>
      <c r="H1178" s="3"/>
      <c r="K1178" s="3"/>
      <c r="L1178" s="3"/>
      <c r="O1178" s="11"/>
      <c r="P1178" s="3"/>
      <c r="Q1178" s="9"/>
    </row>
    <row r="1179" spans="2:17" x14ac:dyDescent="0.25">
      <c r="B1179" s="1"/>
      <c r="E1179" s="3"/>
      <c r="F1179" s="3"/>
      <c r="G1179" s="3"/>
      <c r="H1179" s="3"/>
      <c r="K1179" s="3"/>
      <c r="L1179" s="3"/>
      <c r="O1179" s="11"/>
      <c r="P1179" s="3"/>
      <c r="Q1179" s="9"/>
    </row>
    <row r="1180" spans="2:17" x14ac:dyDescent="0.25">
      <c r="B1180" s="1"/>
      <c r="E1180" s="3"/>
      <c r="F1180" s="3"/>
      <c r="G1180" s="3"/>
      <c r="H1180" s="3"/>
      <c r="K1180" s="3"/>
      <c r="L1180" s="3"/>
      <c r="O1180" s="11"/>
      <c r="P1180" s="3"/>
      <c r="Q1180" s="9"/>
    </row>
    <row r="1181" spans="2:17" x14ac:dyDescent="0.25">
      <c r="B1181" s="1"/>
      <c r="E1181" s="3"/>
      <c r="F1181" s="3"/>
      <c r="G1181" s="3"/>
      <c r="H1181" s="3"/>
      <c r="K1181" s="3"/>
      <c r="L1181" s="3"/>
      <c r="O1181" s="11"/>
      <c r="P1181" s="3"/>
      <c r="Q1181" s="9"/>
    </row>
    <row r="1182" spans="2:17" x14ac:dyDescent="0.25">
      <c r="B1182" s="1"/>
      <c r="E1182" s="3"/>
      <c r="F1182" s="3"/>
      <c r="G1182" s="3"/>
      <c r="H1182" s="3"/>
      <c r="K1182" s="3"/>
      <c r="L1182" s="3"/>
      <c r="O1182" s="11"/>
      <c r="P1182" s="3"/>
      <c r="Q1182" s="9"/>
    </row>
    <row r="1183" spans="2:17" x14ac:dyDescent="0.25">
      <c r="B1183" s="1"/>
      <c r="E1183" s="3"/>
      <c r="F1183" s="3"/>
      <c r="G1183" s="3"/>
      <c r="H1183" s="3"/>
      <c r="K1183" s="3"/>
      <c r="L1183" s="3"/>
      <c r="O1183" s="11"/>
      <c r="P1183" s="3"/>
      <c r="Q1183" s="9"/>
    </row>
    <row r="1184" spans="2:17" x14ac:dyDescent="0.25">
      <c r="B1184" s="1"/>
      <c r="E1184" s="3"/>
      <c r="F1184" s="3"/>
      <c r="G1184" s="3"/>
      <c r="H1184" s="3"/>
      <c r="K1184" s="3"/>
      <c r="L1184" s="3"/>
      <c r="O1184" s="11"/>
      <c r="P1184" s="3"/>
      <c r="Q1184" s="9"/>
    </row>
    <row r="1185" spans="2:17" x14ac:dyDescent="0.25">
      <c r="B1185" s="1"/>
      <c r="E1185" s="3"/>
      <c r="F1185" s="3"/>
      <c r="G1185" s="3"/>
      <c r="H1185" s="3"/>
      <c r="K1185" s="3"/>
      <c r="L1185" s="3"/>
      <c r="O1185" s="11"/>
      <c r="P1185" s="3"/>
      <c r="Q1185" s="9"/>
    </row>
    <row r="1186" spans="2:17" x14ac:dyDescent="0.25">
      <c r="B1186" s="1"/>
      <c r="E1186" s="3"/>
      <c r="F1186" s="3"/>
      <c r="G1186" s="3"/>
      <c r="H1186" s="3"/>
      <c r="K1186" s="3"/>
      <c r="L1186" s="3"/>
      <c r="O1186" s="11"/>
      <c r="P1186" s="3"/>
      <c r="Q1186" s="9"/>
    </row>
    <row r="1187" spans="2:17" x14ac:dyDescent="0.25">
      <c r="B1187" s="1"/>
      <c r="E1187" s="3"/>
      <c r="F1187" s="3"/>
      <c r="G1187" s="3"/>
      <c r="H1187" s="3"/>
      <c r="K1187" s="3"/>
      <c r="L1187" s="3"/>
      <c r="O1187" s="11"/>
      <c r="P1187" s="3"/>
      <c r="Q1187" s="9"/>
    </row>
    <row r="1188" spans="2:17" x14ac:dyDescent="0.25">
      <c r="B1188" s="1"/>
      <c r="E1188" s="3"/>
      <c r="F1188" s="3"/>
      <c r="G1188" s="3"/>
      <c r="H1188" s="3"/>
      <c r="K1188" s="3"/>
      <c r="L1188" s="3"/>
      <c r="O1188" s="11"/>
      <c r="P1188" s="3"/>
      <c r="Q1188" s="9"/>
    </row>
    <row r="1189" spans="2:17" x14ac:dyDescent="0.25">
      <c r="B1189" s="1"/>
      <c r="E1189" s="3"/>
      <c r="F1189" s="3"/>
      <c r="G1189" s="3"/>
      <c r="H1189" s="3"/>
      <c r="K1189" s="3"/>
      <c r="L1189" s="3"/>
      <c r="O1189" s="11"/>
      <c r="P1189" s="3"/>
      <c r="Q1189" s="9"/>
    </row>
    <row r="1190" spans="2:17" x14ac:dyDescent="0.25">
      <c r="B1190" s="1"/>
      <c r="E1190" s="3"/>
      <c r="F1190" s="3"/>
      <c r="G1190" s="3"/>
      <c r="H1190" s="3"/>
      <c r="K1190" s="3"/>
      <c r="L1190" s="3"/>
      <c r="O1190" s="11"/>
      <c r="P1190" s="3"/>
      <c r="Q1190" s="9"/>
    </row>
    <row r="1191" spans="2:17" x14ac:dyDescent="0.25">
      <c r="B1191" s="1"/>
      <c r="E1191" s="3"/>
      <c r="F1191" s="3"/>
      <c r="G1191" s="3"/>
      <c r="H1191" s="3"/>
      <c r="K1191" s="3"/>
      <c r="L1191" s="3"/>
      <c r="O1191" s="11"/>
      <c r="P1191" s="3"/>
      <c r="Q1191" s="9"/>
    </row>
    <row r="1192" spans="2:17" x14ac:dyDescent="0.25">
      <c r="B1192" s="1"/>
      <c r="E1192" s="3"/>
      <c r="F1192" s="3"/>
      <c r="G1192" s="3"/>
      <c r="H1192" s="3"/>
      <c r="K1192" s="3"/>
      <c r="L1192" s="3"/>
      <c r="O1192" s="11"/>
      <c r="P1192" s="3"/>
      <c r="Q1192" s="9"/>
    </row>
    <row r="1193" spans="2:17" x14ac:dyDescent="0.25">
      <c r="B1193" s="1"/>
      <c r="E1193" s="3"/>
      <c r="F1193" s="3"/>
      <c r="G1193" s="3"/>
      <c r="H1193" s="3"/>
      <c r="K1193" s="3"/>
      <c r="L1193" s="3"/>
      <c r="O1193" s="11"/>
      <c r="P1193" s="3"/>
      <c r="Q1193" s="9"/>
    </row>
    <row r="1194" spans="2:17" x14ac:dyDescent="0.25">
      <c r="B1194" s="1"/>
      <c r="E1194" s="3"/>
      <c r="F1194" s="3"/>
      <c r="G1194" s="3"/>
      <c r="H1194" s="3"/>
      <c r="K1194" s="3"/>
      <c r="L1194" s="3"/>
      <c r="O1194" s="11"/>
      <c r="P1194" s="3"/>
      <c r="Q1194" s="9"/>
    </row>
    <row r="1195" spans="2:17" x14ac:dyDescent="0.25">
      <c r="B1195" s="1"/>
      <c r="E1195" s="3"/>
      <c r="F1195" s="3"/>
      <c r="G1195" s="3"/>
      <c r="H1195" s="3"/>
      <c r="K1195" s="3"/>
      <c r="L1195" s="3"/>
      <c r="O1195" s="11"/>
      <c r="P1195" s="3"/>
      <c r="Q1195" s="9"/>
    </row>
    <row r="1196" spans="2:17" x14ac:dyDescent="0.25">
      <c r="B1196" s="1"/>
      <c r="E1196" s="3"/>
      <c r="F1196" s="3"/>
      <c r="G1196" s="3"/>
      <c r="H1196" s="3"/>
      <c r="K1196" s="3"/>
      <c r="L1196" s="3"/>
      <c r="O1196" s="11"/>
      <c r="P1196" s="3"/>
      <c r="Q1196" s="9"/>
    </row>
    <row r="1197" spans="2:17" x14ac:dyDescent="0.25">
      <c r="B1197" s="1"/>
      <c r="E1197" s="3"/>
      <c r="F1197" s="3"/>
      <c r="G1197" s="3"/>
      <c r="H1197" s="3"/>
      <c r="K1197" s="3"/>
      <c r="L1197" s="3"/>
      <c r="O1197" s="11"/>
      <c r="P1197" s="3"/>
      <c r="Q1197" s="9"/>
    </row>
    <row r="1198" spans="2:17" x14ac:dyDescent="0.25">
      <c r="B1198" s="1"/>
      <c r="E1198" s="3"/>
      <c r="F1198" s="3"/>
      <c r="G1198" s="3"/>
      <c r="H1198" s="3"/>
      <c r="K1198" s="3"/>
      <c r="L1198" s="3"/>
      <c r="O1198" s="11"/>
      <c r="P1198" s="3"/>
      <c r="Q1198" s="9"/>
    </row>
    <row r="1199" spans="2:17" x14ac:dyDescent="0.25">
      <c r="B1199" s="1"/>
      <c r="E1199" s="3"/>
      <c r="F1199" s="3"/>
      <c r="G1199" s="3"/>
      <c r="H1199" s="3"/>
      <c r="K1199" s="3"/>
      <c r="L1199" s="3"/>
      <c r="O1199" s="11"/>
      <c r="P1199" s="3"/>
      <c r="Q1199" s="9"/>
    </row>
    <row r="1200" spans="2:17" x14ac:dyDescent="0.25">
      <c r="B1200" s="1"/>
      <c r="E1200" s="3"/>
      <c r="F1200" s="3"/>
      <c r="G1200" s="3"/>
      <c r="H1200" s="3"/>
      <c r="K1200" s="3"/>
      <c r="L1200" s="3"/>
      <c r="O1200" s="11"/>
      <c r="P1200" s="3"/>
      <c r="Q1200" s="9"/>
    </row>
    <row r="1201" spans="2:17" x14ac:dyDescent="0.25">
      <c r="B1201" s="1"/>
      <c r="E1201" s="3"/>
      <c r="F1201" s="3"/>
      <c r="G1201" s="3"/>
      <c r="H1201" s="3"/>
      <c r="K1201" s="3"/>
      <c r="L1201" s="3"/>
      <c r="O1201" s="11"/>
      <c r="P1201" s="3"/>
      <c r="Q1201" s="9"/>
    </row>
    <row r="1202" spans="2:17" x14ac:dyDescent="0.25">
      <c r="B1202" s="1"/>
      <c r="E1202" s="3"/>
      <c r="F1202" s="3"/>
      <c r="G1202" s="3"/>
      <c r="H1202" s="3"/>
      <c r="K1202" s="3"/>
      <c r="L1202" s="3"/>
      <c r="O1202" s="11"/>
      <c r="P1202" s="3"/>
      <c r="Q1202" s="9"/>
    </row>
    <row r="1203" spans="2:17" x14ac:dyDescent="0.25">
      <c r="B1203" s="1"/>
      <c r="E1203" s="3"/>
      <c r="F1203" s="3"/>
      <c r="G1203" s="3"/>
      <c r="H1203" s="3"/>
      <c r="K1203" s="3"/>
      <c r="L1203" s="3"/>
      <c r="O1203" s="11"/>
      <c r="P1203" s="3"/>
      <c r="Q1203" s="9"/>
    </row>
    <row r="1204" spans="2:17" x14ac:dyDescent="0.25">
      <c r="B1204" s="1"/>
      <c r="E1204" s="3"/>
      <c r="F1204" s="3"/>
      <c r="G1204" s="3"/>
      <c r="H1204" s="3"/>
      <c r="K1204" s="3"/>
      <c r="L1204" s="3"/>
      <c r="O1204" s="11"/>
      <c r="P1204" s="3"/>
      <c r="Q1204" s="9"/>
    </row>
    <row r="1205" spans="2:17" x14ac:dyDescent="0.25">
      <c r="B1205" s="1"/>
      <c r="E1205" s="3"/>
      <c r="F1205" s="3"/>
      <c r="G1205" s="3"/>
      <c r="H1205" s="3"/>
      <c r="K1205" s="3"/>
      <c r="L1205" s="3"/>
      <c r="O1205" s="11"/>
      <c r="P1205" s="3"/>
      <c r="Q1205" s="9"/>
    </row>
    <row r="1206" spans="2:17" x14ac:dyDescent="0.25">
      <c r="B1206" s="1"/>
      <c r="E1206" s="3"/>
      <c r="F1206" s="3"/>
      <c r="G1206" s="3"/>
      <c r="H1206" s="3"/>
      <c r="K1206" s="3"/>
      <c r="L1206" s="3"/>
      <c r="O1206" s="11"/>
      <c r="P1206" s="3"/>
      <c r="Q1206" s="9"/>
    </row>
    <row r="1207" spans="2:17" x14ac:dyDescent="0.25">
      <c r="B1207" s="1"/>
      <c r="E1207" s="3"/>
      <c r="F1207" s="3"/>
      <c r="G1207" s="3"/>
      <c r="H1207" s="3"/>
      <c r="K1207" s="3"/>
      <c r="L1207" s="3"/>
      <c r="O1207" s="11"/>
      <c r="P1207" s="3"/>
      <c r="Q1207" s="9"/>
    </row>
    <row r="1208" spans="2:17" x14ac:dyDescent="0.25">
      <c r="B1208" s="1"/>
      <c r="E1208" s="3"/>
      <c r="F1208" s="3"/>
      <c r="G1208" s="3"/>
      <c r="H1208" s="3"/>
      <c r="K1208" s="3"/>
      <c r="L1208" s="3"/>
      <c r="O1208" s="11"/>
      <c r="P1208" s="3"/>
      <c r="Q1208" s="9"/>
    </row>
    <row r="1209" spans="2:17" x14ac:dyDescent="0.25">
      <c r="B1209" s="1"/>
      <c r="E1209" s="3"/>
      <c r="F1209" s="3"/>
      <c r="G1209" s="3"/>
      <c r="H1209" s="3"/>
      <c r="K1209" s="3"/>
      <c r="L1209" s="3"/>
      <c r="O1209" s="11"/>
      <c r="P1209" s="3"/>
      <c r="Q1209" s="9"/>
    </row>
    <row r="1210" spans="2:17" x14ac:dyDescent="0.25">
      <c r="B1210" s="1"/>
      <c r="E1210" s="3"/>
      <c r="F1210" s="3"/>
      <c r="G1210" s="3"/>
      <c r="H1210" s="3"/>
      <c r="K1210" s="3"/>
      <c r="L1210" s="3"/>
      <c r="O1210" s="11"/>
      <c r="P1210" s="3"/>
      <c r="Q1210" s="9"/>
    </row>
    <row r="1211" spans="2:17" x14ac:dyDescent="0.25">
      <c r="B1211" s="1"/>
      <c r="E1211" s="3"/>
      <c r="F1211" s="3"/>
      <c r="G1211" s="3"/>
      <c r="H1211" s="3"/>
      <c r="K1211" s="3"/>
      <c r="L1211" s="3"/>
      <c r="O1211" s="11"/>
      <c r="P1211" s="3"/>
      <c r="Q1211" s="9"/>
    </row>
    <row r="1212" spans="2:17" x14ac:dyDescent="0.25">
      <c r="B1212" s="1"/>
      <c r="E1212" s="3"/>
      <c r="F1212" s="3"/>
      <c r="G1212" s="3"/>
      <c r="H1212" s="3"/>
      <c r="K1212" s="3"/>
      <c r="L1212" s="3"/>
      <c r="O1212" s="11"/>
      <c r="P1212" s="3"/>
      <c r="Q1212" s="9"/>
    </row>
    <row r="1213" spans="2:17" x14ac:dyDescent="0.25">
      <c r="B1213" s="1"/>
      <c r="E1213" s="3"/>
      <c r="F1213" s="3"/>
      <c r="G1213" s="3"/>
      <c r="H1213" s="3"/>
      <c r="K1213" s="3"/>
      <c r="L1213" s="3"/>
      <c r="O1213" s="11"/>
      <c r="P1213" s="3"/>
      <c r="Q1213" s="9"/>
    </row>
    <row r="1214" spans="2:17" x14ac:dyDescent="0.25">
      <c r="B1214" s="1"/>
      <c r="E1214" s="3"/>
      <c r="F1214" s="3"/>
      <c r="G1214" s="3"/>
      <c r="H1214" s="3"/>
      <c r="K1214" s="3"/>
      <c r="L1214" s="3"/>
      <c r="O1214" s="11"/>
      <c r="P1214" s="3"/>
      <c r="Q1214" s="9"/>
    </row>
    <row r="1215" spans="2:17" x14ac:dyDescent="0.25">
      <c r="B1215" s="1"/>
      <c r="E1215" s="3"/>
      <c r="F1215" s="3"/>
      <c r="G1215" s="3"/>
      <c r="H1215" s="3"/>
      <c r="K1215" s="3"/>
      <c r="L1215" s="3"/>
      <c r="O1215" s="11"/>
      <c r="P1215" s="3"/>
      <c r="Q1215" s="9"/>
    </row>
    <row r="1216" spans="2:17" x14ac:dyDescent="0.25">
      <c r="B1216" s="1"/>
      <c r="E1216" s="3"/>
      <c r="F1216" s="3"/>
      <c r="G1216" s="3"/>
      <c r="H1216" s="3"/>
      <c r="K1216" s="3"/>
      <c r="L1216" s="3"/>
      <c r="O1216" s="11"/>
      <c r="P1216" s="3"/>
      <c r="Q1216" s="9"/>
    </row>
    <row r="1217" spans="2:17" x14ac:dyDescent="0.25">
      <c r="B1217" s="1"/>
      <c r="E1217" s="3"/>
      <c r="F1217" s="3"/>
      <c r="G1217" s="3"/>
      <c r="H1217" s="3"/>
      <c r="K1217" s="3"/>
      <c r="L1217" s="3"/>
      <c r="O1217" s="11"/>
      <c r="P1217" s="3"/>
      <c r="Q1217" s="9"/>
    </row>
    <row r="1218" spans="2:17" x14ac:dyDescent="0.25">
      <c r="B1218" s="1"/>
      <c r="E1218" s="3"/>
      <c r="F1218" s="3"/>
      <c r="G1218" s="3"/>
      <c r="H1218" s="3"/>
      <c r="K1218" s="3"/>
      <c r="L1218" s="3"/>
      <c r="O1218" s="11"/>
      <c r="P1218" s="3"/>
      <c r="Q1218" s="9"/>
    </row>
    <row r="1219" spans="2:17" x14ac:dyDescent="0.25">
      <c r="B1219" s="1"/>
      <c r="E1219" s="3"/>
      <c r="F1219" s="3"/>
      <c r="G1219" s="3"/>
      <c r="H1219" s="3"/>
      <c r="K1219" s="3"/>
      <c r="L1219" s="3"/>
      <c r="O1219" s="11"/>
      <c r="P1219" s="3"/>
      <c r="Q1219" s="9"/>
    </row>
    <row r="1220" spans="2:17" x14ac:dyDescent="0.25">
      <c r="B1220" s="1"/>
      <c r="E1220" s="3"/>
      <c r="F1220" s="3"/>
      <c r="G1220" s="3"/>
      <c r="H1220" s="3"/>
      <c r="K1220" s="3"/>
      <c r="L1220" s="3"/>
      <c r="O1220" s="11"/>
      <c r="P1220" s="3"/>
      <c r="Q1220" s="9"/>
    </row>
    <row r="1221" spans="2:17" x14ac:dyDescent="0.25">
      <c r="B1221" s="1"/>
      <c r="E1221" s="3"/>
      <c r="F1221" s="3"/>
      <c r="G1221" s="3"/>
      <c r="H1221" s="3"/>
      <c r="K1221" s="3"/>
      <c r="L1221" s="3"/>
      <c r="O1221" s="11"/>
      <c r="P1221" s="3"/>
      <c r="Q1221" s="9"/>
    </row>
    <row r="1222" spans="2:17" x14ac:dyDescent="0.25">
      <c r="B1222" s="1"/>
      <c r="E1222" s="3"/>
      <c r="F1222" s="3"/>
      <c r="G1222" s="3"/>
      <c r="H1222" s="3"/>
      <c r="K1222" s="3"/>
      <c r="L1222" s="3"/>
      <c r="O1222" s="11"/>
      <c r="P1222" s="3"/>
      <c r="Q1222" s="9"/>
    </row>
    <row r="1223" spans="2:17" x14ac:dyDescent="0.25">
      <c r="B1223" s="1"/>
      <c r="E1223" s="3"/>
      <c r="F1223" s="3"/>
      <c r="G1223" s="3"/>
      <c r="H1223" s="3"/>
      <c r="K1223" s="3"/>
      <c r="L1223" s="3"/>
      <c r="O1223" s="11"/>
      <c r="P1223" s="3"/>
      <c r="Q1223" s="9"/>
    </row>
    <row r="1224" spans="2:17" x14ac:dyDescent="0.25">
      <c r="B1224" s="1"/>
      <c r="E1224" s="3"/>
      <c r="F1224" s="3"/>
      <c r="G1224" s="3"/>
      <c r="H1224" s="3"/>
      <c r="K1224" s="3"/>
      <c r="L1224" s="3"/>
      <c r="O1224" s="11"/>
      <c r="P1224" s="3"/>
      <c r="Q1224" s="9"/>
    </row>
    <row r="1225" spans="2:17" x14ac:dyDescent="0.25">
      <c r="B1225" s="1"/>
      <c r="E1225" s="3"/>
      <c r="F1225" s="3"/>
      <c r="G1225" s="3"/>
      <c r="H1225" s="3"/>
      <c r="K1225" s="3"/>
      <c r="L1225" s="3"/>
      <c r="O1225" s="11"/>
      <c r="P1225" s="3"/>
      <c r="Q1225" s="9"/>
    </row>
    <row r="1226" spans="2:17" x14ac:dyDescent="0.25">
      <c r="B1226" s="1"/>
      <c r="E1226" s="3"/>
      <c r="F1226" s="3"/>
      <c r="G1226" s="3"/>
      <c r="H1226" s="3"/>
      <c r="K1226" s="3"/>
      <c r="L1226" s="3"/>
      <c r="O1226" s="11"/>
      <c r="P1226" s="3"/>
      <c r="Q1226" s="9"/>
    </row>
    <row r="1227" spans="2:17" x14ac:dyDescent="0.25">
      <c r="B1227" s="1"/>
      <c r="E1227" s="3"/>
      <c r="F1227" s="3"/>
      <c r="G1227" s="3"/>
      <c r="H1227" s="3"/>
      <c r="K1227" s="3"/>
      <c r="L1227" s="3"/>
      <c r="O1227" s="11"/>
      <c r="P1227" s="3"/>
      <c r="Q1227" s="9"/>
    </row>
    <row r="1228" spans="2:17" x14ac:dyDescent="0.25">
      <c r="B1228" s="1"/>
      <c r="E1228" s="3"/>
      <c r="F1228" s="3"/>
      <c r="G1228" s="3"/>
      <c r="H1228" s="3"/>
      <c r="K1228" s="3"/>
      <c r="L1228" s="3"/>
      <c r="O1228" s="11"/>
      <c r="P1228" s="3"/>
      <c r="Q1228" s="9"/>
    </row>
    <row r="1229" spans="2:17" x14ac:dyDescent="0.25">
      <c r="B1229" s="1"/>
      <c r="E1229" s="3"/>
      <c r="F1229" s="3"/>
      <c r="G1229" s="3"/>
      <c r="H1229" s="3"/>
      <c r="K1229" s="3"/>
      <c r="L1229" s="3"/>
      <c r="O1229" s="11"/>
      <c r="P1229" s="3"/>
      <c r="Q1229" s="9"/>
    </row>
    <row r="1230" spans="2:17" x14ac:dyDescent="0.25">
      <c r="B1230" s="1"/>
      <c r="E1230" s="3"/>
      <c r="F1230" s="3"/>
      <c r="G1230" s="3"/>
      <c r="H1230" s="3"/>
      <c r="K1230" s="3"/>
      <c r="L1230" s="3"/>
      <c r="O1230" s="11"/>
      <c r="P1230" s="3"/>
      <c r="Q1230" s="9"/>
    </row>
    <row r="1231" spans="2:17" x14ac:dyDescent="0.25">
      <c r="B1231" s="1"/>
      <c r="E1231" s="3"/>
      <c r="F1231" s="3"/>
      <c r="G1231" s="3"/>
      <c r="H1231" s="3"/>
      <c r="K1231" s="3"/>
      <c r="L1231" s="3"/>
      <c r="O1231" s="11"/>
      <c r="P1231" s="3"/>
      <c r="Q1231" s="9"/>
    </row>
    <row r="1232" spans="2:17" x14ac:dyDescent="0.25">
      <c r="B1232" s="1"/>
      <c r="E1232" s="3"/>
      <c r="F1232" s="3"/>
      <c r="G1232" s="3"/>
      <c r="H1232" s="3"/>
      <c r="K1232" s="3"/>
      <c r="L1232" s="3"/>
      <c r="O1232" s="11"/>
      <c r="P1232" s="3"/>
      <c r="Q1232" s="9"/>
    </row>
    <row r="1233" spans="2:17" x14ac:dyDescent="0.25">
      <c r="B1233" s="1"/>
      <c r="E1233" s="3"/>
      <c r="F1233" s="3"/>
      <c r="G1233" s="3"/>
      <c r="H1233" s="3"/>
      <c r="K1233" s="3"/>
      <c r="L1233" s="3"/>
      <c r="O1233" s="11"/>
      <c r="P1233" s="3"/>
      <c r="Q1233" s="9"/>
    </row>
    <row r="1234" spans="2:17" x14ac:dyDescent="0.25">
      <c r="B1234" s="1"/>
      <c r="E1234" s="3"/>
      <c r="F1234" s="3"/>
      <c r="G1234" s="3"/>
      <c r="H1234" s="3"/>
      <c r="K1234" s="3"/>
      <c r="L1234" s="3"/>
      <c r="O1234" s="11"/>
      <c r="P1234" s="3"/>
      <c r="Q1234" s="9"/>
    </row>
    <row r="1235" spans="2:17" x14ac:dyDescent="0.25">
      <c r="B1235" s="1"/>
      <c r="E1235" s="3"/>
      <c r="F1235" s="3"/>
      <c r="G1235" s="3"/>
      <c r="H1235" s="3"/>
      <c r="K1235" s="3"/>
      <c r="L1235" s="3"/>
      <c r="O1235" s="11"/>
      <c r="P1235" s="3"/>
      <c r="Q1235" s="9"/>
    </row>
    <row r="1236" spans="2:17" x14ac:dyDescent="0.25">
      <c r="B1236" s="1"/>
      <c r="E1236" s="3"/>
      <c r="F1236" s="3"/>
      <c r="G1236" s="3"/>
      <c r="H1236" s="3"/>
      <c r="K1236" s="3"/>
      <c r="L1236" s="3"/>
      <c r="O1236" s="11"/>
      <c r="P1236" s="3"/>
      <c r="Q1236" s="9"/>
    </row>
    <row r="1237" spans="2:17" x14ac:dyDescent="0.25">
      <c r="B1237" s="1"/>
      <c r="E1237" s="3"/>
      <c r="F1237" s="3"/>
      <c r="G1237" s="3"/>
      <c r="H1237" s="3"/>
      <c r="K1237" s="3"/>
      <c r="L1237" s="3"/>
      <c r="O1237" s="11"/>
      <c r="P1237" s="3"/>
      <c r="Q1237" s="9"/>
    </row>
    <row r="1238" spans="2:17" x14ac:dyDescent="0.25">
      <c r="B1238" s="1"/>
      <c r="E1238" s="3"/>
      <c r="F1238" s="3"/>
      <c r="G1238" s="3"/>
      <c r="H1238" s="3"/>
      <c r="K1238" s="3"/>
      <c r="L1238" s="3"/>
      <c r="O1238" s="11"/>
      <c r="P1238" s="3"/>
      <c r="Q1238" s="9"/>
    </row>
    <row r="1239" spans="2:17" x14ac:dyDescent="0.25">
      <c r="B1239" s="1"/>
      <c r="E1239" s="3"/>
      <c r="F1239" s="3"/>
      <c r="G1239" s="3"/>
      <c r="H1239" s="3"/>
      <c r="K1239" s="3"/>
      <c r="L1239" s="3"/>
      <c r="O1239" s="11"/>
      <c r="P1239" s="3"/>
      <c r="Q1239" s="9"/>
    </row>
    <row r="1240" spans="2:17" x14ac:dyDescent="0.25">
      <c r="B1240" s="1"/>
      <c r="E1240" s="3"/>
      <c r="F1240" s="3"/>
      <c r="G1240" s="3"/>
      <c r="H1240" s="3"/>
      <c r="K1240" s="3"/>
      <c r="L1240" s="3"/>
      <c r="O1240" s="11"/>
      <c r="P1240" s="3"/>
      <c r="Q1240" s="9"/>
    </row>
    <row r="1241" spans="2:17" x14ac:dyDescent="0.25">
      <c r="B1241" s="1"/>
      <c r="E1241" s="3"/>
      <c r="F1241" s="3"/>
      <c r="G1241" s="3"/>
      <c r="H1241" s="3"/>
      <c r="K1241" s="3"/>
      <c r="L1241" s="3"/>
      <c r="O1241" s="11"/>
      <c r="P1241" s="3"/>
      <c r="Q1241" s="9"/>
    </row>
    <row r="1242" spans="2:17" x14ac:dyDescent="0.25">
      <c r="B1242" s="1"/>
      <c r="E1242" s="3"/>
      <c r="F1242" s="3"/>
      <c r="G1242" s="3"/>
      <c r="H1242" s="3"/>
      <c r="K1242" s="3"/>
      <c r="L1242" s="3"/>
      <c r="O1242" s="11"/>
      <c r="P1242" s="3"/>
      <c r="Q1242" s="9"/>
    </row>
    <row r="1243" spans="2:17" x14ac:dyDescent="0.25">
      <c r="B1243" s="1"/>
      <c r="E1243" s="3"/>
      <c r="F1243" s="3"/>
      <c r="G1243" s="3"/>
      <c r="H1243" s="3"/>
      <c r="K1243" s="3"/>
      <c r="L1243" s="3"/>
      <c r="O1243" s="11"/>
      <c r="P1243" s="3"/>
      <c r="Q1243" s="9"/>
    </row>
    <row r="1244" spans="2:17" x14ac:dyDescent="0.25">
      <c r="B1244" s="1"/>
      <c r="E1244" s="3"/>
      <c r="F1244" s="3"/>
      <c r="G1244" s="3"/>
      <c r="H1244" s="3"/>
      <c r="K1244" s="3"/>
      <c r="L1244" s="3"/>
      <c r="O1244" s="11"/>
      <c r="P1244" s="3"/>
      <c r="Q1244" s="9"/>
    </row>
    <row r="1245" spans="2:17" x14ac:dyDescent="0.25">
      <c r="B1245" s="1"/>
      <c r="E1245" s="3"/>
      <c r="F1245" s="3"/>
      <c r="G1245" s="3"/>
      <c r="H1245" s="3"/>
      <c r="K1245" s="3"/>
      <c r="L1245" s="3"/>
      <c r="O1245" s="11"/>
      <c r="P1245" s="3"/>
      <c r="Q1245" s="9"/>
    </row>
    <row r="1246" spans="2:17" x14ac:dyDescent="0.25">
      <c r="B1246" s="1"/>
      <c r="E1246" s="3"/>
      <c r="F1246" s="3"/>
      <c r="G1246" s="3"/>
      <c r="H1246" s="3"/>
      <c r="K1246" s="3"/>
      <c r="L1246" s="3"/>
      <c r="O1246" s="11"/>
      <c r="P1246" s="3"/>
      <c r="Q1246" s="9"/>
    </row>
    <row r="1247" spans="2:17" x14ac:dyDescent="0.25">
      <c r="B1247" s="1"/>
      <c r="E1247" s="3"/>
      <c r="F1247" s="3"/>
      <c r="G1247" s="3"/>
      <c r="H1247" s="3"/>
      <c r="K1247" s="3"/>
      <c r="L1247" s="3"/>
      <c r="O1247" s="11"/>
      <c r="P1247" s="3"/>
      <c r="Q1247" s="9"/>
    </row>
    <row r="1248" spans="2:17" x14ac:dyDescent="0.25">
      <c r="B1248" s="1"/>
      <c r="E1248" s="3"/>
      <c r="F1248" s="3"/>
      <c r="G1248" s="3"/>
      <c r="H1248" s="3"/>
      <c r="K1248" s="3"/>
      <c r="L1248" s="3"/>
      <c r="O1248" s="11"/>
      <c r="P1248" s="3"/>
      <c r="Q1248" s="9"/>
    </row>
    <row r="1249" spans="2:17" x14ac:dyDescent="0.25">
      <c r="B1249" s="1"/>
      <c r="E1249" s="3"/>
      <c r="F1249" s="3"/>
      <c r="G1249" s="3"/>
      <c r="H1249" s="3"/>
      <c r="K1249" s="3"/>
      <c r="L1249" s="3"/>
      <c r="O1249" s="11"/>
      <c r="P1249" s="3"/>
      <c r="Q1249" s="9"/>
    </row>
    <row r="1250" spans="2:17" x14ac:dyDescent="0.25">
      <c r="B1250" s="1"/>
      <c r="E1250" s="3"/>
      <c r="F1250" s="3"/>
      <c r="G1250" s="3"/>
      <c r="H1250" s="3"/>
      <c r="K1250" s="3"/>
      <c r="L1250" s="3"/>
      <c r="O1250" s="11"/>
      <c r="P1250" s="3"/>
      <c r="Q1250" s="9"/>
    </row>
    <row r="1251" spans="2:17" x14ac:dyDescent="0.25">
      <c r="B1251" s="1"/>
      <c r="E1251" s="3"/>
      <c r="F1251" s="3"/>
      <c r="G1251" s="3"/>
      <c r="H1251" s="3"/>
      <c r="K1251" s="3"/>
      <c r="L1251" s="3"/>
      <c r="O1251" s="11"/>
      <c r="P1251" s="3"/>
      <c r="Q1251" s="9"/>
    </row>
    <row r="1252" spans="2:17" x14ac:dyDescent="0.25">
      <c r="B1252" s="1"/>
      <c r="E1252" s="3"/>
      <c r="F1252" s="3"/>
      <c r="G1252" s="3"/>
      <c r="H1252" s="3"/>
      <c r="K1252" s="3"/>
      <c r="L1252" s="3"/>
      <c r="O1252" s="11"/>
      <c r="P1252" s="3"/>
      <c r="Q1252" s="9"/>
    </row>
    <row r="1253" spans="2:17" x14ac:dyDescent="0.25">
      <c r="B1253" s="1"/>
      <c r="E1253" s="3"/>
      <c r="F1253" s="3"/>
      <c r="G1253" s="3"/>
      <c r="H1253" s="3"/>
      <c r="K1253" s="3"/>
      <c r="L1253" s="3"/>
      <c r="O1253" s="11"/>
      <c r="P1253" s="3"/>
      <c r="Q1253" s="9"/>
    </row>
    <row r="1254" spans="2:17" x14ac:dyDescent="0.25">
      <c r="B1254" s="1"/>
      <c r="E1254" s="3"/>
      <c r="F1254" s="3"/>
      <c r="G1254" s="3"/>
      <c r="H1254" s="3"/>
      <c r="K1254" s="3"/>
      <c r="L1254" s="3"/>
      <c r="O1254" s="11"/>
      <c r="P1254" s="3"/>
      <c r="Q1254" s="9"/>
    </row>
    <row r="1255" spans="2:17" x14ac:dyDescent="0.25">
      <c r="B1255" s="1"/>
      <c r="E1255" s="3"/>
      <c r="F1255" s="3"/>
      <c r="G1255" s="3"/>
      <c r="H1255" s="3"/>
      <c r="K1255" s="3"/>
      <c r="L1255" s="3"/>
      <c r="O1255" s="11"/>
      <c r="P1255" s="3"/>
      <c r="Q1255" s="9"/>
    </row>
    <row r="1256" spans="2:17" x14ac:dyDescent="0.25">
      <c r="B1256" s="1"/>
      <c r="E1256" s="3"/>
      <c r="F1256" s="3"/>
      <c r="G1256" s="3"/>
      <c r="H1256" s="3"/>
      <c r="K1256" s="3"/>
      <c r="L1256" s="3"/>
      <c r="O1256" s="11"/>
      <c r="P1256" s="3"/>
      <c r="Q1256" s="9"/>
    </row>
    <row r="1257" spans="2:17" x14ac:dyDescent="0.25">
      <c r="B1257" s="1"/>
      <c r="E1257" s="3"/>
      <c r="F1257" s="3"/>
      <c r="G1257" s="3"/>
      <c r="H1257" s="3"/>
      <c r="K1257" s="3"/>
      <c r="L1257" s="3"/>
      <c r="O1257" s="11"/>
      <c r="P1257" s="3"/>
      <c r="Q1257" s="9"/>
    </row>
    <row r="1258" spans="2:17" x14ac:dyDescent="0.25">
      <c r="B1258" s="1"/>
      <c r="E1258" s="3"/>
      <c r="F1258" s="3"/>
      <c r="G1258" s="3"/>
      <c r="H1258" s="3"/>
      <c r="K1258" s="3"/>
      <c r="L1258" s="3"/>
      <c r="O1258" s="11"/>
      <c r="P1258" s="3"/>
      <c r="Q1258" s="9"/>
    </row>
    <row r="1259" spans="2:17" x14ac:dyDescent="0.25">
      <c r="B1259" s="1"/>
      <c r="E1259" s="3"/>
      <c r="F1259" s="3"/>
      <c r="G1259" s="3"/>
      <c r="H1259" s="3"/>
      <c r="K1259" s="3"/>
      <c r="L1259" s="3"/>
      <c r="O1259" s="11"/>
      <c r="P1259" s="3"/>
      <c r="Q1259" s="9"/>
    </row>
    <row r="1260" spans="2:17" x14ac:dyDescent="0.25">
      <c r="B1260" s="1"/>
      <c r="E1260" s="3"/>
      <c r="F1260" s="3"/>
      <c r="G1260" s="3"/>
      <c r="H1260" s="3"/>
      <c r="K1260" s="3"/>
      <c r="L1260" s="3"/>
      <c r="O1260" s="11"/>
      <c r="P1260" s="3"/>
      <c r="Q1260" s="9"/>
    </row>
    <row r="1261" spans="2:17" x14ac:dyDescent="0.25">
      <c r="B1261" s="1"/>
      <c r="E1261" s="3"/>
      <c r="F1261" s="3"/>
      <c r="G1261" s="3"/>
      <c r="H1261" s="3"/>
      <c r="K1261" s="3"/>
      <c r="L1261" s="3"/>
      <c r="O1261" s="11"/>
      <c r="P1261" s="3"/>
      <c r="Q1261" s="9"/>
    </row>
    <row r="1262" spans="2:17" x14ac:dyDescent="0.25">
      <c r="B1262" s="1"/>
      <c r="E1262" s="3"/>
      <c r="F1262" s="3"/>
      <c r="G1262" s="3"/>
      <c r="H1262" s="3"/>
      <c r="K1262" s="3"/>
      <c r="L1262" s="3"/>
      <c r="O1262" s="11"/>
      <c r="P1262" s="3"/>
      <c r="Q1262" s="9"/>
    </row>
    <row r="1263" spans="2:17" x14ac:dyDescent="0.25">
      <c r="B1263" s="1"/>
      <c r="E1263" s="3"/>
      <c r="F1263" s="3"/>
      <c r="G1263" s="3"/>
      <c r="H1263" s="3"/>
      <c r="K1263" s="3"/>
      <c r="L1263" s="3"/>
      <c r="O1263" s="11"/>
      <c r="P1263" s="3"/>
      <c r="Q1263" s="9"/>
    </row>
    <row r="1264" spans="2:17" x14ac:dyDescent="0.25">
      <c r="B1264" s="1"/>
      <c r="E1264" s="3"/>
      <c r="F1264" s="3"/>
      <c r="G1264" s="3"/>
      <c r="H1264" s="3"/>
      <c r="K1264" s="3"/>
      <c r="L1264" s="3"/>
      <c r="O1264" s="11"/>
      <c r="P1264" s="3"/>
      <c r="Q1264" s="9"/>
    </row>
    <row r="1265" spans="2:17" x14ac:dyDescent="0.25">
      <c r="B1265" s="1"/>
      <c r="E1265" s="3"/>
      <c r="F1265" s="3"/>
      <c r="G1265" s="3"/>
      <c r="H1265" s="3"/>
      <c r="K1265" s="3"/>
      <c r="L1265" s="3"/>
      <c r="O1265" s="11"/>
      <c r="P1265" s="3"/>
      <c r="Q1265" s="9"/>
    </row>
    <row r="1266" spans="2:17" x14ac:dyDescent="0.25">
      <c r="B1266" s="1"/>
      <c r="E1266" s="3"/>
      <c r="F1266" s="3"/>
      <c r="G1266" s="3"/>
      <c r="H1266" s="3"/>
      <c r="K1266" s="3"/>
      <c r="L1266" s="3"/>
      <c r="O1266" s="11"/>
      <c r="P1266" s="3"/>
      <c r="Q1266" s="9"/>
    </row>
    <row r="1267" spans="2:17" x14ac:dyDescent="0.25">
      <c r="B1267" s="1"/>
      <c r="E1267" s="3"/>
      <c r="F1267" s="3"/>
      <c r="G1267" s="3"/>
      <c r="H1267" s="3"/>
      <c r="K1267" s="3"/>
      <c r="L1267" s="3"/>
      <c r="O1267" s="11"/>
      <c r="P1267" s="3"/>
      <c r="Q1267" s="9"/>
    </row>
    <row r="1268" spans="2:17" x14ac:dyDescent="0.25">
      <c r="B1268" s="1"/>
      <c r="E1268" s="3"/>
      <c r="F1268" s="3"/>
      <c r="G1268" s="3"/>
      <c r="H1268" s="3"/>
      <c r="K1268" s="3"/>
      <c r="L1268" s="3"/>
      <c r="O1268" s="11"/>
      <c r="P1268" s="3"/>
      <c r="Q1268" s="9"/>
    </row>
    <row r="1269" spans="2:17" x14ac:dyDescent="0.25">
      <c r="B1269" s="1"/>
      <c r="E1269" s="3"/>
      <c r="F1269" s="3"/>
      <c r="G1269" s="3"/>
      <c r="H1269" s="3"/>
      <c r="K1269" s="3"/>
      <c r="L1269" s="3"/>
      <c r="O1269" s="11"/>
      <c r="P1269" s="3"/>
      <c r="Q1269" s="9"/>
    </row>
    <row r="1270" spans="2:17" x14ac:dyDescent="0.25">
      <c r="B1270" s="1"/>
      <c r="E1270" s="3"/>
      <c r="F1270" s="3"/>
      <c r="G1270" s="3"/>
      <c r="H1270" s="3"/>
      <c r="K1270" s="3"/>
      <c r="L1270" s="3"/>
      <c r="O1270" s="11"/>
      <c r="P1270" s="3"/>
      <c r="Q1270" s="9"/>
    </row>
    <row r="1271" spans="2:17" x14ac:dyDescent="0.25">
      <c r="B1271" s="1"/>
      <c r="E1271" s="3"/>
      <c r="F1271" s="3"/>
      <c r="G1271" s="3"/>
      <c r="H1271" s="3"/>
      <c r="K1271" s="3"/>
      <c r="L1271" s="3"/>
      <c r="O1271" s="11"/>
      <c r="P1271" s="3"/>
      <c r="Q1271" s="9"/>
    </row>
    <row r="1272" spans="2:17" x14ac:dyDescent="0.25">
      <c r="B1272" s="1"/>
      <c r="E1272" s="3"/>
      <c r="F1272" s="3"/>
      <c r="G1272" s="3"/>
      <c r="H1272" s="3"/>
      <c r="K1272" s="3"/>
      <c r="L1272" s="3"/>
      <c r="O1272" s="11"/>
      <c r="P1272" s="3"/>
      <c r="Q1272" s="9"/>
    </row>
    <row r="1273" spans="2:17" x14ac:dyDescent="0.25">
      <c r="B1273" s="1"/>
      <c r="E1273" s="3"/>
      <c r="F1273" s="3"/>
      <c r="G1273" s="3"/>
      <c r="H1273" s="3"/>
      <c r="K1273" s="3"/>
      <c r="L1273" s="3"/>
      <c r="O1273" s="11"/>
      <c r="P1273" s="3"/>
      <c r="Q1273" s="9"/>
    </row>
    <row r="1274" spans="2:17" x14ac:dyDescent="0.25">
      <c r="B1274" s="1"/>
      <c r="E1274" s="3"/>
      <c r="F1274" s="3"/>
      <c r="G1274" s="3"/>
      <c r="H1274" s="3"/>
      <c r="K1274" s="3"/>
      <c r="L1274" s="3"/>
      <c r="O1274" s="11"/>
      <c r="P1274" s="3"/>
      <c r="Q1274" s="9"/>
    </row>
    <row r="1275" spans="2:17" x14ac:dyDescent="0.25">
      <c r="B1275" s="1"/>
      <c r="E1275" s="3"/>
      <c r="F1275" s="3"/>
      <c r="G1275" s="3"/>
      <c r="H1275" s="3"/>
      <c r="K1275" s="3"/>
      <c r="L1275" s="3"/>
      <c r="O1275" s="11"/>
      <c r="P1275" s="3"/>
      <c r="Q1275" s="9"/>
    </row>
    <row r="1276" spans="2:17" x14ac:dyDescent="0.25">
      <c r="B1276" s="1"/>
      <c r="E1276" s="3"/>
      <c r="F1276" s="3"/>
      <c r="G1276" s="3"/>
      <c r="H1276" s="3"/>
      <c r="K1276" s="3"/>
      <c r="L1276" s="3"/>
      <c r="O1276" s="11"/>
      <c r="P1276" s="3"/>
      <c r="Q1276" s="9"/>
    </row>
    <row r="1277" spans="2:17" x14ac:dyDescent="0.25">
      <c r="B1277" s="1"/>
      <c r="E1277" s="3"/>
      <c r="F1277" s="3"/>
      <c r="G1277" s="3"/>
      <c r="H1277" s="3"/>
      <c r="K1277" s="3"/>
      <c r="L1277" s="3"/>
      <c r="O1277" s="11"/>
      <c r="P1277" s="3"/>
      <c r="Q1277" s="9"/>
    </row>
    <row r="1278" spans="2:17" x14ac:dyDescent="0.25">
      <c r="B1278" s="1"/>
      <c r="E1278" s="3"/>
      <c r="F1278" s="3"/>
      <c r="G1278" s="3"/>
      <c r="H1278" s="3"/>
      <c r="K1278" s="3"/>
      <c r="L1278" s="3"/>
      <c r="O1278" s="11"/>
      <c r="P1278" s="3"/>
      <c r="Q1278" s="9"/>
    </row>
    <row r="1279" spans="2:17" x14ac:dyDescent="0.25">
      <c r="B1279" s="1"/>
      <c r="E1279" s="3"/>
      <c r="F1279" s="3"/>
      <c r="G1279" s="3"/>
      <c r="H1279" s="3"/>
      <c r="K1279" s="3"/>
      <c r="L1279" s="3"/>
      <c r="O1279" s="11"/>
      <c r="P1279" s="3"/>
      <c r="Q1279" s="9"/>
    </row>
    <row r="1280" spans="2:17" x14ac:dyDescent="0.25">
      <c r="B1280" s="1"/>
      <c r="E1280" s="3"/>
      <c r="F1280" s="3"/>
      <c r="G1280" s="3"/>
      <c r="H1280" s="3"/>
      <c r="K1280" s="3"/>
      <c r="L1280" s="3"/>
      <c r="O1280" s="11"/>
      <c r="P1280" s="3"/>
      <c r="Q1280" s="9"/>
    </row>
    <row r="1281" spans="2:17" x14ac:dyDescent="0.25">
      <c r="B1281" s="1"/>
      <c r="E1281" s="3"/>
      <c r="F1281" s="3"/>
      <c r="G1281" s="3"/>
      <c r="H1281" s="3"/>
      <c r="K1281" s="3"/>
      <c r="L1281" s="3"/>
      <c r="O1281" s="11"/>
      <c r="P1281" s="3"/>
      <c r="Q1281" s="9"/>
    </row>
    <row r="1282" spans="2:17" x14ac:dyDescent="0.25">
      <c r="B1282" s="1"/>
      <c r="E1282" s="3"/>
      <c r="F1282" s="3"/>
      <c r="G1282" s="3"/>
      <c r="H1282" s="3"/>
      <c r="K1282" s="3"/>
      <c r="L1282" s="3"/>
      <c r="O1282" s="11"/>
      <c r="P1282" s="3"/>
      <c r="Q1282" s="9"/>
    </row>
    <row r="1283" spans="2:17" x14ac:dyDescent="0.25">
      <c r="B1283" s="1"/>
      <c r="E1283" s="3"/>
      <c r="F1283" s="3"/>
      <c r="G1283" s="3"/>
      <c r="H1283" s="3"/>
      <c r="K1283" s="3"/>
      <c r="L1283" s="3"/>
      <c r="O1283" s="11"/>
      <c r="P1283" s="3"/>
      <c r="Q1283" s="9"/>
    </row>
    <row r="1284" spans="2:17" x14ac:dyDescent="0.25">
      <c r="B1284" s="1"/>
      <c r="E1284" s="3"/>
      <c r="F1284" s="3"/>
      <c r="G1284" s="3"/>
      <c r="H1284" s="3"/>
      <c r="K1284" s="3"/>
      <c r="L1284" s="3"/>
      <c r="O1284" s="11"/>
      <c r="P1284" s="3"/>
      <c r="Q1284" s="9"/>
    </row>
    <row r="1285" spans="2:17" x14ac:dyDescent="0.25">
      <c r="B1285" s="1"/>
      <c r="E1285" s="3"/>
      <c r="F1285" s="3"/>
      <c r="G1285" s="3"/>
      <c r="H1285" s="3"/>
      <c r="K1285" s="3"/>
      <c r="L1285" s="3"/>
      <c r="O1285" s="11"/>
      <c r="P1285" s="3"/>
      <c r="Q1285" s="9"/>
    </row>
    <row r="1286" spans="2:17" x14ac:dyDescent="0.25">
      <c r="B1286" s="1"/>
      <c r="E1286" s="3"/>
      <c r="F1286" s="3"/>
      <c r="G1286" s="3"/>
      <c r="H1286" s="3"/>
      <c r="K1286" s="3"/>
      <c r="L1286" s="3"/>
      <c r="O1286" s="11"/>
      <c r="P1286" s="3"/>
      <c r="Q1286" s="9"/>
    </row>
    <row r="1287" spans="2:17" x14ac:dyDescent="0.25">
      <c r="B1287" s="1"/>
      <c r="E1287" s="3"/>
      <c r="F1287" s="3"/>
      <c r="G1287" s="3"/>
      <c r="H1287" s="3"/>
      <c r="K1287" s="3"/>
      <c r="L1287" s="3"/>
      <c r="O1287" s="11"/>
      <c r="P1287" s="3"/>
      <c r="Q1287" s="9"/>
    </row>
    <row r="1288" spans="2:17" x14ac:dyDescent="0.25">
      <c r="B1288" s="1"/>
      <c r="E1288" s="3"/>
      <c r="F1288" s="3"/>
      <c r="G1288" s="3"/>
      <c r="H1288" s="3"/>
      <c r="K1288" s="3"/>
      <c r="L1288" s="3"/>
      <c r="O1288" s="11"/>
      <c r="P1288" s="3"/>
      <c r="Q1288" s="9"/>
    </row>
    <row r="1289" spans="2:17" x14ac:dyDescent="0.25">
      <c r="B1289" s="1"/>
      <c r="E1289" s="3"/>
      <c r="F1289" s="3"/>
      <c r="G1289" s="3"/>
      <c r="H1289" s="3"/>
      <c r="K1289" s="3"/>
      <c r="L1289" s="3"/>
      <c r="O1289" s="11"/>
      <c r="P1289" s="3"/>
      <c r="Q1289" s="9"/>
    </row>
    <row r="1290" spans="2:17" x14ac:dyDescent="0.25">
      <c r="B1290" s="1"/>
      <c r="E1290" s="3"/>
      <c r="F1290" s="3"/>
      <c r="G1290" s="3"/>
      <c r="H1290" s="3"/>
      <c r="K1290" s="3"/>
      <c r="L1290" s="3"/>
      <c r="O1290" s="11"/>
      <c r="P1290" s="3"/>
      <c r="Q1290" s="9"/>
    </row>
    <row r="1291" spans="2:17" x14ac:dyDescent="0.25">
      <c r="B1291" s="1"/>
      <c r="E1291" s="3"/>
      <c r="F1291" s="3"/>
      <c r="G1291" s="3"/>
      <c r="H1291" s="3"/>
      <c r="K1291" s="3"/>
      <c r="L1291" s="3"/>
      <c r="O1291" s="11"/>
      <c r="P1291" s="3"/>
      <c r="Q1291" s="9"/>
    </row>
    <row r="1292" spans="2:17" x14ac:dyDescent="0.25">
      <c r="B1292" s="1"/>
      <c r="E1292" s="3"/>
      <c r="F1292" s="3"/>
      <c r="G1292" s="3"/>
      <c r="H1292" s="3"/>
      <c r="K1292" s="3"/>
      <c r="L1292" s="3"/>
      <c r="O1292" s="11"/>
      <c r="P1292" s="3"/>
      <c r="Q1292" s="9"/>
    </row>
    <row r="1293" spans="2:17" x14ac:dyDescent="0.25">
      <c r="B1293" s="1"/>
      <c r="E1293" s="3"/>
      <c r="F1293" s="3"/>
      <c r="G1293" s="3"/>
      <c r="H1293" s="3"/>
      <c r="K1293" s="3"/>
      <c r="L1293" s="3"/>
      <c r="O1293" s="11"/>
      <c r="P1293" s="3"/>
      <c r="Q1293" s="9"/>
    </row>
    <row r="1294" spans="2:17" x14ac:dyDescent="0.25">
      <c r="B1294" s="1"/>
      <c r="E1294" s="3"/>
      <c r="F1294" s="3"/>
      <c r="G1294" s="3"/>
      <c r="H1294" s="3"/>
      <c r="K1294" s="3"/>
      <c r="L1294" s="3"/>
      <c r="O1294" s="11"/>
      <c r="P1294" s="3"/>
      <c r="Q1294" s="9"/>
    </row>
    <row r="1295" spans="2:17" x14ac:dyDescent="0.25">
      <c r="B1295" s="1"/>
      <c r="E1295" s="3"/>
      <c r="F1295" s="3"/>
      <c r="G1295" s="3"/>
      <c r="H1295" s="3"/>
      <c r="K1295" s="3"/>
      <c r="L1295" s="3"/>
      <c r="O1295" s="11"/>
      <c r="P1295" s="3"/>
      <c r="Q1295" s="9"/>
    </row>
    <row r="1296" spans="2:17" x14ac:dyDescent="0.25">
      <c r="B1296" s="1"/>
      <c r="E1296" s="3"/>
      <c r="F1296" s="3"/>
      <c r="G1296" s="3"/>
      <c r="H1296" s="3"/>
      <c r="K1296" s="3"/>
      <c r="L1296" s="3"/>
      <c r="O1296" s="11"/>
      <c r="P1296" s="3"/>
      <c r="Q1296" s="9"/>
    </row>
    <row r="1297" spans="2:17" x14ac:dyDescent="0.25">
      <c r="B1297" s="1"/>
      <c r="E1297" s="3"/>
      <c r="F1297" s="3"/>
      <c r="G1297" s="3"/>
      <c r="H1297" s="3"/>
      <c r="K1297" s="3"/>
      <c r="L1297" s="3"/>
      <c r="O1297" s="11"/>
      <c r="P1297" s="3"/>
      <c r="Q1297" s="9"/>
    </row>
    <row r="1298" spans="2:17" x14ac:dyDescent="0.25">
      <c r="B1298" s="1"/>
      <c r="E1298" s="3"/>
      <c r="F1298" s="3"/>
      <c r="G1298" s="3"/>
      <c r="H1298" s="3"/>
      <c r="K1298" s="3"/>
      <c r="L1298" s="3"/>
      <c r="O1298" s="11"/>
      <c r="P1298" s="3"/>
      <c r="Q1298" s="9"/>
    </row>
    <row r="1299" spans="2:17" x14ac:dyDescent="0.25">
      <c r="B1299" s="1"/>
      <c r="E1299" s="3"/>
      <c r="F1299" s="3"/>
      <c r="G1299" s="3"/>
      <c r="H1299" s="3"/>
      <c r="K1299" s="3"/>
      <c r="L1299" s="3"/>
      <c r="O1299" s="11"/>
      <c r="P1299" s="3"/>
      <c r="Q1299" s="9"/>
    </row>
    <row r="1300" spans="2:17" x14ac:dyDescent="0.25">
      <c r="B1300" s="1"/>
      <c r="E1300" s="3"/>
      <c r="F1300" s="3"/>
      <c r="G1300" s="3"/>
      <c r="H1300" s="3"/>
      <c r="K1300" s="3"/>
      <c r="L1300" s="3"/>
      <c r="O1300" s="11"/>
      <c r="P1300" s="3"/>
      <c r="Q1300" s="9"/>
    </row>
    <row r="1301" spans="2:17" x14ac:dyDescent="0.25">
      <c r="B1301" s="1"/>
      <c r="E1301" s="3"/>
      <c r="F1301" s="3"/>
      <c r="G1301" s="3"/>
      <c r="H1301" s="3"/>
      <c r="K1301" s="3"/>
      <c r="L1301" s="3"/>
      <c r="O1301" s="11"/>
      <c r="P1301" s="3"/>
      <c r="Q1301" s="9"/>
    </row>
    <row r="1302" spans="2:17" x14ac:dyDescent="0.25">
      <c r="B1302" s="1"/>
      <c r="E1302" s="3"/>
      <c r="F1302" s="3"/>
      <c r="G1302" s="3"/>
      <c r="H1302" s="3"/>
      <c r="K1302" s="3"/>
      <c r="L1302" s="3"/>
      <c r="O1302" s="11"/>
      <c r="P1302" s="3"/>
      <c r="Q1302" s="9"/>
    </row>
    <row r="1303" spans="2:17" x14ac:dyDescent="0.25">
      <c r="B1303" s="1"/>
      <c r="E1303" s="3"/>
      <c r="F1303" s="3"/>
      <c r="G1303" s="3"/>
      <c r="H1303" s="3"/>
      <c r="K1303" s="3"/>
      <c r="L1303" s="3"/>
      <c r="O1303" s="11"/>
      <c r="P1303" s="3"/>
      <c r="Q1303" s="9"/>
    </row>
    <row r="1304" spans="2:17" x14ac:dyDescent="0.25">
      <c r="B1304" s="1"/>
      <c r="E1304" s="3"/>
      <c r="F1304" s="3"/>
      <c r="G1304" s="3"/>
      <c r="H1304" s="3"/>
      <c r="K1304" s="3"/>
      <c r="L1304" s="3"/>
      <c r="O1304" s="11"/>
      <c r="P1304" s="3"/>
      <c r="Q1304" s="9"/>
    </row>
    <row r="1305" spans="2:17" x14ac:dyDescent="0.25">
      <c r="B1305" s="1"/>
      <c r="E1305" s="3"/>
      <c r="F1305" s="3"/>
      <c r="G1305" s="3"/>
      <c r="H1305" s="3"/>
      <c r="K1305" s="3"/>
      <c r="L1305" s="3"/>
      <c r="O1305" s="11"/>
      <c r="P1305" s="3"/>
      <c r="Q1305" s="9"/>
    </row>
    <row r="1306" spans="2:17" x14ac:dyDescent="0.25">
      <c r="B1306" s="1"/>
      <c r="E1306" s="3"/>
      <c r="F1306" s="3"/>
      <c r="G1306" s="3"/>
      <c r="H1306" s="3"/>
      <c r="K1306" s="3"/>
      <c r="L1306" s="3"/>
      <c r="O1306" s="11"/>
      <c r="P1306" s="3"/>
      <c r="Q1306" s="9"/>
    </row>
    <row r="1307" spans="2:17" x14ac:dyDescent="0.25">
      <c r="B1307" s="1"/>
      <c r="E1307" s="3"/>
      <c r="F1307" s="3"/>
      <c r="G1307" s="3"/>
      <c r="H1307" s="3"/>
      <c r="K1307" s="3"/>
      <c r="L1307" s="3"/>
      <c r="O1307" s="11"/>
      <c r="P1307" s="3"/>
      <c r="Q1307" s="9"/>
    </row>
    <row r="1308" spans="2:17" x14ac:dyDescent="0.25">
      <c r="B1308" s="1"/>
      <c r="E1308" s="3"/>
      <c r="F1308" s="3"/>
      <c r="G1308" s="3"/>
      <c r="H1308" s="3"/>
      <c r="K1308" s="3"/>
      <c r="L1308" s="3"/>
      <c r="O1308" s="11"/>
      <c r="P1308" s="3"/>
      <c r="Q1308" s="9"/>
    </row>
    <row r="1309" spans="2:17" x14ac:dyDescent="0.25">
      <c r="B1309" s="1"/>
      <c r="E1309" s="3"/>
      <c r="F1309" s="3"/>
      <c r="G1309" s="3"/>
      <c r="H1309" s="3"/>
      <c r="K1309" s="3"/>
      <c r="L1309" s="3"/>
      <c r="O1309" s="11"/>
      <c r="P1309" s="3"/>
      <c r="Q1309" s="9"/>
    </row>
    <row r="1310" spans="2:17" x14ac:dyDescent="0.25">
      <c r="B1310" s="1"/>
      <c r="E1310" s="3"/>
      <c r="F1310" s="3"/>
      <c r="G1310" s="3"/>
      <c r="H1310" s="3"/>
      <c r="K1310" s="3"/>
      <c r="L1310" s="3"/>
      <c r="O1310" s="11"/>
      <c r="P1310" s="3"/>
      <c r="Q1310" s="9"/>
    </row>
    <row r="1311" spans="2:17" x14ac:dyDescent="0.25">
      <c r="B1311" s="1"/>
      <c r="E1311" s="3"/>
      <c r="F1311" s="3"/>
      <c r="G1311" s="3"/>
      <c r="H1311" s="3"/>
      <c r="K1311" s="3"/>
      <c r="L1311" s="3"/>
      <c r="O1311" s="11"/>
      <c r="P1311" s="3"/>
      <c r="Q1311" s="9"/>
    </row>
    <row r="1312" spans="2:17" x14ac:dyDescent="0.25">
      <c r="B1312" s="1"/>
      <c r="E1312" s="3"/>
      <c r="F1312" s="3"/>
      <c r="G1312" s="3"/>
      <c r="H1312" s="3"/>
      <c r="K1312" s="3"/>
      <c r="L1312" s="3"/>
      <c r="O1312" s="11"/>
      <c r="P1312" s="3"/>
      <c r="Q1312" s="9"/>
    </row>
    <row r="1313" spans="2:17" x14ac:dyDescent="0.25">
      <c r="B1313" s="1"/>
      <c r="E1313" s="3"/>
      <c r="F1313" s="3"/>
      <c r="G1313" s="3"/>
      <c r="H1313" s="3"/>
      <c r="K1313" s="3"/>
      <c r="L1313" s="3"/>
      <c r="O1313" s="11"/>
      <c r="P1313" s="3"/>
      <c r="Q1313" s="9"/>
    </row>
    <row r="1314" spans="2:17" x14ac:dyDescent="0.25">
      <c r="B1314" s="1"/>
      <c r="E1314" s="3"/>
      <c r="F1314" s="3"/>
      <c r="G1314" s="3"/>
      <c r="H1314" s="3"/>
      <c r="K1314" s="3"/>
      <c r="L1314" s="3"/>
      <c r="O1314" s="11"/>
      <c r="P1314" s="3"/>
      <c r="Q1314" s="9"/>
    </row>
    <row r="1315" spans="2:17" x14ac:dyDescent="0.25">
      <c r="B1315" s="1"/>
      <c r="E1315" s="3"/>
      <c r="F1315" s="3"/>
      <c r="G1315" s="3"/>
      <c r="H1315" s="3"/>
      <c r="K1315" s="3"/>
      <c r="L1315" s="3"/>
      <c r="O1315" s="11"/>
      <c r="P1315" s="3"/>
      <c r="Q1315" s="9"/>
    </row>
    <row r="1316" spans="2:17" x14ac:dyDescent="0.25">
      <c r="B1316" s="1"/>
      <c r="E1316" s="3"/>
      <c r="F1316" s="3"/>
      <c r="G1316" s="3"/>
      <c r="H1316" s="3"/>
      <c r="K1316" s="3"/>
      <c r="L1316" s="3"/>
      <c r="O1316" s="11"/>
      <c r="P1316" s="3"/>
      <c r="Q1316" s="9"/>
    </row>
    <row r="1317" spans="2:17" x14ac:dyDescent="0.25">
      <c r="B1317" s="1"/>
      <c r="E1317" s="3"/>
      <c r="F1317" s="3"/>
      <c r="G1317" s="3"/>
      <c r="H1317" s="3"/>
      <c r="K1317" s="3"/>
      <c r="L1317" s="3"/>
      <c r="O1317" s="11"/>
      <c r="P1317" s="3"/>
      <c r="Q1317" s="9"/>
    </row>
    <row r="1318" spans="2:17" x14ac:dyDescent="0.25">
      <c r="B1318" s="1"/>
      <c r="E1318" s="3"/>
      <c r="F1318" s="3"/>
      <c r="G1318" s="3"/>
      <c r="H1318" s="3"/>
      <c r="K1318" s="3"/>
      <c r="L1318" s="3"/>
      <c r="O1318" s="11"/>
      <c r="P1318" s="3"/>
      <c r="Q1318" s="9"/>
    </row>
    <row r="1319" spans="2:17" x14ac:dyDescent="0.25">
      <c r="B1319" s="1"/>
      <c r="E1319" s="3"/>
      <c r="F1319" s="3"/>
      <c r="G1319" s="3"/>
      <c r="H1319" s="3"/>
      <c r="K1319" s="3"/>
      <c r="L1319" s="3"/>
      <c r="O1319" s="11"/>
      <c r="P1319" s="3"/>
      <c r="Q1319" s="9"/>
    </row>
    <row r="1320" spans="2:17" x14ac:dyDescent="0.25">
      <c r="B1320" s="1"/>
      <c r="E1320" s="3"/>
      <c r="F1320" s="3"/>
      <c r="G1320" s="3"/>
      <c r="H1320" s="3"/>
      <c r="K1320" s="3"/>
      <c r="L1320" s="3"/>
      <c r="O1320" s="11"/>
      <c r="P1320" s="3"/>
      <c r="Q1320" s="9"/>
    </row>
    <row r="1321" spans="2:17" x14ac:dyDescent="0.25">
      <c r="B1321" s="1"/>
      <c r="E1321" s="3"/>
      <c r="F1321" s="3"/>
      <c r="G1321" s="3"/>
      <c r="H1321" s="3"/>
      <c r="K1321" s="3"/>
      <c r="L1321" s="3"/>
      <c r="O1321" s="11"/>
      <c r="P1321" s="3"/>
      <c r="Q1321" s="9"/>
    </row>
    <row r="1322" spans="2:17" x14ac:dyDescent="0.25">
      <c r="B1322" s="1"/>
      <c r="E1322" s="3"/>
      <c r="F1322" s="3"/>
      <c r="G1322" s="3"/>
      <c r="H1322" s="3"/>
      <c r="K1322" s="3"/>
      <c r="L1322" s="3"/>
      <c r="O1322" s="11"/>
      <c r="P1322" s="3"/>
      <c r="Q1322" s="9"/>
    </row>
    <row r="1323" spans="2:17" x14ac:dyDescent="0.25">
      <c r="B1323" s="1"/>
      <c r="E1323" s="3"/>
      <c r="F1323" s="3"/>
      <c r="G1323" s="3"/>
      <c r="H1323" s="3"/>
      <c r="K1323" s="3"/>
      <c r="L1323" s="3"/>
      <c r="O1323" s="11"/>
      <c r="P1323" s="3"/>
      <c r="Q1323" s="9"/>
    </row>
    <row r="1324" spans="2:17" x14ac:dyDescent="0.25">
      <c r="B1324" s="1"/>
      <c r="E1324" s="3"/>
      <c r="F1324" s="3"/>
      <c r="G1324" s="3"/>
      <c r="H1324" s="3"/>
      <c r="K1324" s="3"/>
      <c r="L1324" s="3"/>
      <c r="O1324" s="11"/>
      <c r="P1324" s="3"/>
      <c r="Q1324" s="9"/>
    </row>
    <row r="1325" spans="2:17" x14ac:dyDescent="0.25">
      <c r="B1325" s="1"/>
      <c r="E1325" s="3"/>
      <c r="F1325" s="3"/>
      <c r="G1325" s="3"/>
      <c r="H1325" s="3"/>
      <c r="K1325" s="3"/>
      <c r="L1325" s="3"/>
      <c r="O1325" s="11"/>
      <c r="P1325" s="3"/>
      <c r="Q1325" s="9"/>
    </row>
    <row r="1326" spans="2:17" x14ac:dyDescent="0.25">
      <c r="B1326" s="1"/>
      <c r="E1326" s="3"/>
      <c r="F1326" s="3"/>
      <c r="G1326" s="3"/>
      <c r="H1326" s="3"/>
      <c r="K1326" s="3"/>
      <c r="L1326" s="3"/>
      <c r="O1326" s="11"/>
      <c r="P1326" s="3"/>
      <c r="Q1326" s="9"/>
    </row>
    <row r="1327" spans="2:17" x14ac:dyDescent="0.25">
      <c r="B1327" s="1"/>
      <c r="E1327" s="3"/>
      <c r="F1327" s="3"/>
      <c r="G1327" s="3"/>
      <c r="H1327" s="3"/>
      <c r="K1327" s="3"/>
      <c r="L1327" s="3"/>
      <c r="O1327" s="11"/>
      <c r="P1327" s="3"/>
      <c r="Q1327" s="9"/>
    </row>
    <row r="1328" spans="2:17" x14ac:dyDescent="0.25">
      <c r="B1328" s="1"/>
      <c r="E1328" s="3"/>
      <c r="F1328" s="3"/>
      <c r="G1328" s="3"/>
      <c r="H1328" s="3"/>
      <c r="K1328" s="3"/>
      <c r="L1328" s="3"/>
      <c r="O1328" s="11"/>
      <c r="P1328" s="3"/>
      <c r="Q1328" s="9"/>
    </row>
    <row r="1329" spans="2:17" x14ac:dyDescent="0.25">
      <c r="B1329" s="1"/>
      <c r="E1329" s="3"/>
      <c r="F1329" s="3"/>
      <c r="G1329" s="3"/>
      <c r="H1329" s="3"/>
      <c r="K1329" s="3"/>
      <c r="L1329" s="3"/>
      <c r="O1329" s="11"/>
      <c r="P1329" s="3"/>
      <c r="Q1329" s="9"/>
    </row>
    <row r="1330" spans="2:17" x14ac:dyDescent="0.25">
      <c r="B1330" s="1"/>
      <c r="E1330" s="3"/>
      <c r="F1330" s="3"/>
      <c r="G1330" s="3"/>
      <c r="H1330" s="3"/>
      <c r="K1330" s="3"/>
      <c r="L1330" s="3"/>
      <c r="O1330" s="11"/>
      <c r="P1330" s="3"/>
      <c r="Q1330" s="9"/>
    </row>
    <row r="1331" spans="2:17" x14ac:dyDescent="0.25">
      <c r="B1331" s="1"/>
      <c r="E1331" s="3"/>
      <c r="F1331" s="3"/>
      <c r="G1331" s="3"/>
      <c r="H1331" s="3"/>
      <c r="K1331" s="3"/>
      <c r="L1331" s="3"/>
      <c r="O1331" s="11"/>
      <c r="P1331" s="3"/>
      <c r="Q1331" s="9"/>
    </row>
    <row r="1332" spans="2:17" x14ac:dyDescent="0.25">
      <c r="B1332" s="1"/>
      <c r="E1332" s="3"/>
      <c r="F1332" s="3"/>
      <c r="G1332" s="3"/>
      <c r="H1332" s="3"/>
      <c r="K1332" s="3"/>
      <c r="L1332" s="3"/>
      <c r="O1332" s="11"/>
      <c r="P1332" s="3"/>
      <c r="Q1332" s="9"/>
    </row>
    <row r="1333" spans="2:17" x14ac:dyDescent="0.25">
      <c r="B1333" s="1"/>
      <c r="E1333" s="3"/>
      <c r="F1333" s="3"/>
      <c r="G1333" s="3"/>
      <c r="H1333" s="3"/>
      <c r="K1333" s="3"/>
      <c r="L1333" s="3"/>
      <c r="O1333" s="11"/>
      <c r="P1333" s="3"/>
      <c r="Q1333" s="9"/>
    </row>
    <row r="1334" spans="2:17" x14ac:dyDescent="0.25">
      <c r="B1334" s="1"/>
      <c r="E1334" s="3"/>
      <c r="F1334" s="3"/>
      <c r="G1334" s="3"/>
      <c r="H1334" s="3"/>
      <c r="K1334" s="3"/>
      <c r="L1334" s="3"/>
      <c r="O1334" s="11"/>
      <c r="P1334" s="3"/>
      <c r="Q1334" s="9"/>
    </row>
    <row r="1335" spans="2:17" x14ac:dyDescent="0.25">
      <c r="B1335" s="1"/>
      <c r="E1335" s="3"/>
      <c r="F1335" s="3"/>
      <c r="G1335" s="3"/>
      <c r="H1335" s="3"/>
      <c r="K1335" s="3"/>
      <c r="L1335" s="3"/>
      <c r="O1335" s="11"/>
      <c r="P1335" s="3"/>
      <c r="Q1335" s="9"/>
    </row>
    <row r="1336" spans="2:17" x14ac:dyDescent="0.25">
      <c r="B1336" s="1"/>
      <c r="E1336" s="3"/>
      <c r="F1336" s="3"/>
      <c r="G1336" s="3"/>
      <c r="H1336" s="3"/>
      <c r="K1336" s="3"/>
      <c r="L1336" s="3"/>
      <c r="O1336" s="11"/>
      <c r="P1336" s="3"/>
      <c r="Q1336" s="9"/>
    </row>
    <row r="1337" spans="2:17" x14ac:dyDescent="0.25">
      <c r="B1337" s="1"/>
      <c r="E1337" s="3"/>
      <c r="F1337" s="3"/>
      <c r="G1337" s="3"/>
      <c r="H1337" s="3"/>
      <c r="K1337" s="3"/>
      <c r="L1337" s="3"/>
      <c r="O1337" s="11"/>
      <c r="P1337" s="3"/>
      <c r="Q1337" s="9"/>
    </row>
    <row r="1338" spans="2:17" x14ac:dyDescent="0.25">
      <c r="B1338" s="1"/>
      <c r="E1338" s="3"/>
      <c r="F1338" s="3"/>
      <c r="G1338" s="3"/>
      <c r="H1338" s="3"/>
      <c r="K1338" s="3"/>
      <c r="L1338" s="3"/>
      <c r="O1338" s="11"/>
      <c r="P1338" s="3"/>
      <c r="Q1338" s="9"/>
    </row>
    <row r="1339" spans="2:17" x14ac:dyDescent="0.25">
      <c r="B1339" s="1"/>
      <c r="E1339" s="3"/>
      <c r="F1339" s="3"/>
      <c r="G1339" s="3"/>
      <c r="H1339" s="3"/>
      <c r="K1339" s="3"/>
      <c r="L1339" s="3"/>
      <c r="O1339" s="11"/>
      <c r="P1339" s="3"/>
      <c r="Q1339" s="9"/>
    </row>
    <row r="1340" spans="2:17" x14ac:dyDescent="0.25">
      <c r="B1340" s="1"/>
      <c r="E1340" s="3"/>
      <c r="F1340" s="3"/>
      <c r="G1340" s="3"/>
      <c r="H1340" s="3"/>
      <c r="K1340" s="3"/>
      <c r="L1340" s="3"/>
      <c r="O1340" s="11"/>
      <c r="P1340" s="3"/>
      <c r="Q1340" s="9"/>
    </row>
    <row r="1341" spans="2:17" x14ac:dyDescent="0.25">
      <c r="B1341" s="1"/>
      <c r="E1341" s="3"/>
      <c r="F1341" s="3"/>
      <c r="G1341" s="3"/>
      <c r="H1341" s="3"/>
      <c r="K1341" s="3"/>
      <c r="L1341" s="3"/>
      <c r="O1341" s="11"/>
      <c r="P1341" s="3"/>
      <c r="Q1341" s="9"/>
    </row>
    <row r="1342" spans="2:17" x14ac:dyDescent="0.25">
      <c r="B1342" s="1"/>
      <c r="E1342" s="3"/>
      <c r="F1342" s="3"/>
      <c r="G1342" s="3"/>
      <c r="H1342" s="3"/>
      <c r="K1342" s="3"/>
      <c r="L1342" s="3"/>
      <c r="O1342" s="11"/>
      <c r="P1342" s="3"/>
      <c r="Q1342" s="9"/>
    </row>
    <row r="1343" spans="2:17" x14ac:dyDescent="0.25">
      <c r="B1343" s="1"/>
      <c r="E1343" s="3"/>
      <c r="F1343" s="3"/>
      <c r="G1343" s="3"/>
      <c r="H1343" s="3"/>
      <c r="K1343" s="3"/>
      <c r="L1343" s="3"/>
      <c r="O1343" s="11"/>
      <c r="P1343" s="3"/>
      <c r="Q1343" s="9"/>
    </row>
    <row r="1344" spans="2:17" x14ac:dyDescent="0.25">
      <c r="B1344" s="1"/>
      <c r="E1344" s="3"/>
      <c r="F1344" s="3"/>
      <c r="G1344" s="3"/>
      <c r="H1344" s="3"/>
      <c r="K1344" s="3"/>
      <c r="L1344" s="3"/>
      <c r="O1344" s="11"/>
      <c r="P1344" s="3"/>
      <c r="Q1344" s="9"/>
    </row>
    <row r="1345" spans="2:17" x14ac:dyDescent="0.25">
      <c r="B1345" s="1"/>
      <c r="E1345" s="3"/>
      <c r="F1345" s="3"/>
      <c r="G1345" s="3"/>
      <c r="H1345" s="3"/>
      <c r="K1345" s="3"/>
      <c r="L1345" s="3"/>
      <c r="O1345" s="11"/>
      <c r="P1345" s="3"/>
      <c r="Q1345" s="9"/>
    </row>
    <row r="1346" spans="2:17" x14ac:dyDescent="0.25">
      <c r="B1346" s="1"/>
      <c r="E1346" s="3"/>
      <c r="F1346" s="3"/>
      <c r="G1346" s="3"/>
      <c r="H1346" s="3"/>
      <c r="K1346" s="3"/>
      <c r="L1346" s="3"/>
      <c r="O1346" s="11"/>
      <c r="P1346" s="3"/>
      <c r="Q1346" s="9"/>
    </row>
    <row r="1347" spans="2:17" x14ac:dyDescent="0.25">
      <c r="B1347" s="1"/>
      <c r="E1347" s="3"/>
      <c r="F1347" s="3"/>
      <c r="G1347" s="3"/>
      <c r="H1347" s="3"/>
      <c r="K1347" s="3"/>
      <c r="L1347" s="3"/>
      <c r="O1347" s="11"/>
      <c r="P1347" s="3"/>
      <c r="Q1347" s="9"/>
    </row>
    <row r="1348" spans="2:17" x14ac:dyDescent="0.25">
      <c r="B1348" s="1"/>
      <c r="E1348" s="3"/>
      <c r="F1348" s="3"/>
      <c r="G1348" s="3"/>
      <c r="H1348" s="3"/>
      <c r="K1348" s="3"/>
      <c r="L1348" s="3"/>
      <c r="O1348" s="11"/>
      <c r="P1348" s="3"/>
      <c r="Q1348" s="9"/>
    </row>
    <row r="1349" spans="2:17" x14ac:dyDescent="0.25">
      <c r="B1349" s="1"/>
      <c r="E1349" s="3"/>
      <c r="F1349" s="3"/>
      <c r="G1349" s="3"/>
      <c r="H1349" s="3"/>
      <c r="K1349" s="3"/>
      <c r="L1349" s="3"/>
      <c r="O1349" s="11"/>
      <c r="P1349" s="3"/>
      <c r="Q1349" s="9"/>
    </row>
    <row r="1350" spans="2:17" x14ac:dyDescent="0.25">
      <c r="B1350" s="1"/>
      <c r="E1350" s="3"/>
      <c r="F1350" s="3"/>
      <c r="G1350" s="3"/>
      <c r="H1350" s="3"/>
      <c r="K1350" s="3"/>
      <c r="L1350" s="3"/>
      <c r="O1350" s="11"/>
      <c r="P1350" s="3"/>
      <c r="Q1350" s="9"/>
    </row>
    <row r="1351" spans="2:17" x14ac:dyDescent="0.25">
      <c r="B1351" s="1"/>
      <c r="E1351" s="3"/>
      <c r="F1351" s="3"/>
      <c r="G1351" s="3"/>
      <c r="H1351" s="3"/>
      <c r="K1351" s="3"/>
      <c r="L1351" s="3"/>
      <c r="O1351" s="11"/>
      <c r="P1351" s="3"/>
      <c r="Q1351" s="9"/>
    </row>
    <row r="1352" spans="2:17" x14ac:dyDescent="0.25">
      <c r="B1352" s="1"/>
      <c r="E1352" s="3"/>
      <c r="F1352" s="3"/>
      <c r="G1352" s="3"/>
      <c r="H1352" s="3"/>
      <c r="K1352" s="3"/>
      <c r="L1352" s="3"/>
      <c r="O1352" s="11"/>
      <c r="P1352" s="3"/>
      <c r="Q1352" s="9"/>
    </row>
    <row r="1353" spans="2:17" x14ac:dyDescent="0.25">
      <c r="B1353" s="1"/>
      <c r="E1353" s="3"/>
      <c r="F1353" s="3"/>
      <c r="G1353" s="3"/>
      <c r="H1353" s="3"/>
      <c r="K1353" s="3"/>
      <c r="L1353" s="3"/>
      <c r="O1353" s="11"/>
      <c r="P1353" s="3"/>
      <c r="Q1353" s="9"/>
    </row>
    <row r="1354" spans="2:17" x14ac:dyDescent="0.25">
      <c r="B1354" s="1"/>
      <c r="E1354" s="3"/>
      <c r="F1354" s="3"/>
      <c r="G1354" s="3"/>
      <c r="H1354" s="3"/>
      <c r="K1354" s="3"/>
      <c r="L1354" s="3"/>
      <c r="O1354" s="11"/>
      <c r="P1354" s="3"/>
      <c r="Q1354" s="9"/>
    </row>
    <row r="1355" spans="2:17" x14ac:dyDescent="0.25">
      <c r="B1355" s="1"/>
      <c r="E1355" s="3"/>
      <c r="F1355" s="3"/>
      <c r="G1355" s="3"/>
      <c r="H1355" s="3"/>
      <c r="K1355" s="3"/>
      <c r="L1355" s="3"/>
      <c r="O1355" s="11"/>
      <c r="P1355" s="3"/>
      <c r="Q1355" s="9"/>
    </row>
    <row r="1356" spans="2:17" x14ac:dyDescent="0.25">
      <c r="B1356" s="1"/>
      <c r="E1356" s="3"/>
      <c r="F1356" s="3"/>
      <c r="G1356" s="3"/>
      <c r="H1356" s="3"/>
      <c r="K1356" s="3"/>
      <c r="L1356" s="3"/>
      <c r="O1356" s="11"/>
      <c r="P1356" s="3"/>
      <c r="Q1356" s="9"/>
    </row>
    <row r="1357" spans="2:17" x14ac:dyDescent="0.25">
      <c r="B1357" s="1"/>
      <c r="E1357" s="3"/>
      <c r="F1357" s="3"/>
      <c r="G1357" s="3"/>
      <c r="H1357" s="3"/>
      <c r="K1357" s="3"/>
      <c r="L1357" s="3"/>
      <c r="O1357" s="11"/>
      <c r="P1357" s="3"/>
      <c r="Q1357" s="9"/>
    </row>
    <row r="1358" spans="2:17" x14ac:dyDescent="0.25">
      <c r="B1358" s="1"/>
      <c r="E1358" s="3"/>
      <c r="F1358" s="3"/>
      <c r="G1358" s="3"/>
      <c r="H1358" s="3"/>
      <c r="K1358" s="3"/>
      <c r="L1358" s="3"/>
      <c r="O1358" s="11"/>
      <c r="P1358" s="3"/>
      <c r="Q1358" s="9"/>
    </row>
    <row r="1359" spans="2:17" x14ac:dyDescent="0.25">
      <c r="B1359" s="1"/>
      <c r="E1359" s="3"/>
      <c r="F1359" s="3"/>
      <c r="G1359" s="3"/>
      <c r="H1359" s="3"/>
      <c r="K1359" s="3"/>
      <c r="L1359" s="3"/>
      <c r="O1359" s="11"/>
      <c r="P1359" s="3"/>
      <c r="Q1359" s="9"/>
    </row>
    <row r="1360" spans="2:17" x14ac:dyDescent="0.25">
      <c r="B1360" s="1"/>
      <c r="E1360" s="3"/>
      <c r="F1360" s="3"/>
      <c r="G1360" s="3"/>
      <c r="H1360" s="3"/>
      <c r="K1360" s="3"/>
      <c r="L1360" s="3"/>
      <c r="O1360" s="11"/>
      <c r="P1360" s="3"/>
      <c r="Q1360" s="9"/>
    </row>
    <row r="1361" spans="2:17" x14ac:dyDescent="0.25">
      <c r="B1361" s="1"/>
      <c r="E1361" s="3"/>
      <c r="F1361" s="3"/>
      <c r="G1361" s="3"/>
      <c r="H1361" s="3"/>
      <c r="K1361" s="3"/>
      <c r="L1361" s="3"/>
      <c r="O1361" s="11"/>
      <c r="P1361" s="3"/>
      <c r="Q1361" s="9"/>
    </row>
    <row r="1362" spans="2:17" x14ac:dyDescent="0.25">
      <c r="B1362" s="1"/>
      <c r="E1362" s="3"/>
      <c r="F1362" s="3"/>
      <c r="G1362" s="3"/>
      <c r="H1362" s="3"/>
      <c r="K1362" s="3"/>
      <c r="L1362" s="3"/>
      <c r="O1362" s="11"/>
      <c r="P1362" s="3"/>
      <c r="Q1362" s="9"/>
    </row>
    <row r="1363" spans="2:17" x14ac:dyDescent="0.25">
      <c r="B1363" s="1"/>
      <c r="E1363" s="3"/>
      <c r="F1363" s="3"/>
      <c r="G1363" s="3"/>
      <c r="H1363" s="3"/>
      <c r="K1363" s="3"/>
      <c r="L1363" s="3"/>
      <c r="O1363" s="11"/>
      <c r="P1363" s="3"/>
      <c r="Q1363" s="9"/>
    </row>
    <row r="1364" spans="2:17" x14ac:dyDescent="0.25">
      <c r="B1364" s="1"/>
      <c r="E1364" s="3"/>
      <c r="F1364" s="3"/>
      <c r="G1364" s="3"/>
      <c r="H1364" s="3"/>
      <c r="K1364" s="3"/>
      <c r="L1364" s="3"/>
      <c r="O1364" s="11"/>
      <c r="P1364" s="3"/>
      <c r="Q1364" s="9"/>
    </row>
    <row r="1365" spans="2:17" x14ac:dyDescent="0.25">
      <c r="B1365" s="1"/>
      <c r="E1365" s="3"/>
      <c r="F1365" s="3"/>
      <c r="G1365" s="3"/>
      <c r="H1365" s="3"/>
      <c r="K1365" s="3"/>
      <c r="L1365" s="3"/>
      <c r="O1365" s="11"/>
      <c r="P1365" s="3"/>
      <c r="Q1365" s="9"/>
    </row>
    <row r="1366" spans="2:17" x14ac:dyDescent="0.25">
      <c r="B1366" s="1"/>
      <c r="E1366" s="3"/>
      <c r="F1366" s="3"/>
      <c r="G1366" s="3"/>
      <c r="H1366" s="3"/>
      <c r="K1366" s="3"/>
      <c r="L1366" s="3"/>
      <c r="O1366" s="11"/>
      <c r="P1366" s="3"/>
      <c r="Q1366" s="9"/>
    </row>
    <row r="1367" spans="2:17" x14ac:dyDescent="0.25">
      <c r="B1367" s="1"/>
      <c r="E1367" s="3"/>
      <c r="F1367" s="3"/>
      <c r="G1367" s="3"/>
      <c r="H1367" s="3"/>
      <c r="K1367" s="3"/>
      <c r="L1367" s="3"/>
      <c r="O1367" s="11"/>
      <c r="P1367" s="3"/>
      <c r="Q1367" s="9"/>
    </row>
    <row r="1368" spans="2:17" x14ac:dyDescent="0.25">
      <c r="B1368" s="1"/>
      <c r="E1368" s="3"/>
      <c r="F1368" s="3"/>
      <c r="G1368" s="3"/>
      <c r="H1368" s="3"/>
      <c r="K1368" s="3"/>
      <c r="L1368" s="3"/>
      <c r="O1368" s="11"/>
      <c r="P1368" s="3"/>
      <c r="Q1368" s="9"/>
    </row>
    <row r="1369" spans="2:17" x14ac:dyDescent="0.25">
      <c r="B1369" s="1"/>
      <c r="E1369" s="3"/>
      <c r="F1369" s="3"/>
      <c r="G1369" s="3"/>
      <c r="H1369" s="3"/>
      <c r="K1369" s="3"/>
      <c r="L1369" s="3"/>
      <c r="O1369" s="11"/>
      <c r="P1369" s="3"/>
      <c r="Q1369" s="9"/>
    </row>
    <row r="1370" spans="2:17" x14ac:dyDescent="0.25">
      <c r="B1370" s="1"/>
      <c r="E1370" s="3"/>
      <c r="F1370" s="3"/>
      <c r="G1370" s="3"/>
      <c r="H1370" s="3"/>
      <c r="K1370" s="3"/>
      <c r="L1370" s="3"/>
      <c r="O1370" s="11"/>
      <c r="P1370" s="3"/>
      <c r="Q1370" s="9"/>
    </row>
    <row r="1371" spans="2:17" x14ac:dyDescent="0.25">
      <c r="B1371" s="1"/>
      <c r="E1371" s="3"/>
      <c r="F1371" s="3"/>
      <c r="G1371" s="3"/>
      <c r="H1371" s="3"/>
      <c r="K1371" s="3"/>
      <c r="L1371" s="3"/>
      <c r="O1371" s="11"/>
      <c r="P1371" s="3"/>
      <c r="Q1371" s="9"/>
    </row>
    <row r="1372" spans="2:17" x14ac:dyDescent="0.25">
      <c r="B1372" s="1"/>
      <c r="E1372" s="3"/>
      <c r="F1372" s="3"/>
      <c r="G1372" s="3"/>
      <c r="H1372" s="3"/>
      <c r="K1372" s="3"/>
      <c r="L1372" s="3"/>
      <c r="O1372" s="11"/>
      <c r="P1372" s="3"/>
      <c r="Q1372" s="9"/>
    </row>
    <row r="1373" spans="2:17" x14ac:dyDescent="0.25">
      <c r="B1373" s="1"/>
      <c r="E1373" s="3"/>
      <c r="F1373" s="3"/>
      <c r="G1373" s="3"/>
      <c r="H1373" s="3"/>
      <c r="K1373" s="3"/>
      <c r="L1373" s="3"/>
      <c r="O1373" s="11"/>
      <c r="P1373" s="3"/>
      <c r="Q1373" s="9"/>
    </row>
    <row r="1374" spans="2:17" x14ac:dyDescent="0.25">
      <c r="B1374" s="1"/>
      <c r="E1374" s="3"/>
      <c r="F1374" s="3"/>
      <c r="G1374" s="3"/>
      <c r="H1374" s="3"/>
      <c r="K1374" s="3"/>
      <c r="L1374" s="3"/>
      <c r="O1374" s="11"/>
      <c r="P1374" s="3"/>
      <c r="Q1374" s="9"/>
    </row>
    <row r="1375" spans="2:17" x14ac:dyDescent="0.25">
      <c r="B1375" s="1"/>
      <c r="E1375" s="3"/>
      <c r="F1375" s="3"/>
      <c r="G1375" s="3"/>
      <c r="H1375" s="3"/>
      <c r="K1375" s="3"/>
      <c r="L1375" s="3"/>
      <c r="O1375" s="11"/>
      <c r="P1375" s="3"/>
      <c r="Q1375" s="9"/>
    </row>
    <row r="1376" spans="2:17" x14ac:dyDescent="0.25">
      <c r="B1376" s="1"/>
      <c r="E1376" s="3"/>
      <c r="F1376" s="3"/>
      <c r="G1376" s="3"/>
      <c r="H1376" s="3"/>
      <c r="K1376" s="3"/>
      <c r="L1376" s="3"/>
      <c r="O1376" s="11"/>
      <c r="P1376" s="3"/>
      <c r="Q1376" s="9"/>
    </row>
    <row r="1377" spans="2:17" x14ac:dyDescent="0.25">
      <c r="B1377" s="1"/>
      <c r="E1377" s="3"/>
      <c r="F1377" s="3"/>
      <c r="G1377" s="3"/>
      <c r="H1377" s="3"/>
      <c r="K1377" s="3"/>
      <c r="L1377" s="3"/>
      <c r="O1377" s="11"/>
      <c r="P1377" s="3"/>
      <c r="Q1377" s="9"/>
    </row>
    <row r="1378" spans="2:17" x14ac:dyDescent="0.25">
      <c r="B1378" s="1"/>
      <c r="E1378" s="3"/>
      <c r="F1378" s="3"/>
      <c r="G1378" s="3"/>
      <c r="H1378" s="3"/>
      <c r="K1378" s="3"/>
      <c r="L1378" s="3"/>
      <c r="O1378" s="11"/>
      <c r="P1378" s="3"/>
      <c r="Q1378" s="9"/>
    </row>
    <row r="1379" spans="2:17" x14ac:dyDescent="0.25">
      <c r="B1379" s="1"/>
      <c r="E1379" s="3"/>
      <c r="F1379" s="3"/>
      <c r="G1379" s="3"/>
      <c r="H1379" s="3"/>
      <c r="K1379" s="3"/>
      <c r="L1379" s="3"/>
      <c r="O1379" s="11"/>
      <c r="P1379" s="3"/>
      <c r="Q1379" s="9"/>
    </row>
    <row r="1380" spans="2:17" x14ac:dyDescent="0.25">
      <c r="B1380" s="1"/>
      <c r="E1380" s="3"/>
      <c r="F1380" s="3"/>
      <c r="G1380" s="3"/>
      <c r="H1380" s="3"/>
      <c r="K1380" s="3"/>
      <c r="L1380" s="3"/>
      <c r="O1380" s="11"/>
      <c r="P1380" s="3"/>
      <c r="Q1380" s="9"/>
    </row>
    <row r="1381" spans="2:17" x14ac:dyDescent="0.25">
      <c r="B1381" s="1"/>
      <c r="E1381" s="3"/>
      <c r="F1381" s="3"/>
      <c r="G1381" s="3"/>
      <c r="H1381" s="3"/>
      <c r="K1381" s="3"/>
      <c r="L1381" s="3"/>
      <c r="O1381" s="11"/>
      <c r="P1381" s="3"/>
      <c r="Q1381" s="9"/>
    </row>
    <row r="1382" spans="2:17" x14ac:dyDescent="0.25">
      <c r="B1382" s="1"/>
      <c r="E1382" s="3"/>
      <c r="F1382" s="3"/>
      <c r="G1382" s="3"/>
      <c r="H1382" s="3"/>
      <c r="K1382" s="3"/>
      <c r="L1382" s="3"/>
      <c r="O1382" s="11"/>
      <c r="P1382" s="3"/>
      <c r="Q1382" s="9"/>
    </row>
    <row r="1383" spans="2:17" x14ac:dyDescent="0.25">
      <c r="B1383" s="1"/>
      <c r="E1383" s="3"/>
      <c r="F1383" s="3"/>
      <c r="G1383" s="3"/>
      <c r="H1383" s="3"/>
      <c r="K1383" s="3"/>
      <c r="L1383" s="3"/>
      <c r="O1383" s="11"/>
      <c r="P1383" s="3"/>
      <c r="Q1383" s="9"/>
    </row>
    <row r="1384" spans="2:17" x14ac:dyDescent="0.25">
      <c r="B1384" s="1"/>
      <c r="E1384" s="3"/>
      <c r="F1384" s="3"/>
      <c r="G1384" s="3"/>
      <c r="H1384" s="3"/>
      <c r="K1384" s="3"/>
      <c r="L1384" s="3"/>
      <c r="O1384" s="11"/>
      <c r="P1384" s="3"/>
      <c r="Q1384" s="9"/>
    </row>
    <row r="1385" spans="2:17" x14ac:dyDescent="0.25">
      <c r="B1385" s="1"/>
      <c r="E1385" s="3"/>
      <c r="F1385" s="3"/>
      <c r="G1385" s="3"/>
      <c r="H1385" s="3"/>
      <c r="K1385" s="3"/>
      <c r="L1385" s="3"/>
      <c r="O1385" s="11"/>
      <c r="P1385" s="3"/>
      <c r="Q1385" s="9"/>
    </row>
    <row r="1386" spans="2:17" x14ac:dyDescent="0.25">
      <c r="B1386" s="1"/>
      <c r="E1386" s="3"/>
      <c r="F1386" s="3"/>
      <c r="G1386" s="3"/>
      <c r="H1386" s="3"/>
      <c r="K1386" s="3"/>
      <c r="L1386" s="3"/>
      <c r="O1386" s="11"/>
      <c r="P1386" s="3"/>
      <c r="Q1386" s="9"/>
    </row>
    <row r="1387" spans="2:17" x14ac:dyDescent="0.25">
      <c r="B1387" s="1"/>
      <c r="E1387" s="3"/>
      <c r="F1387" s="3"/>
      <c r="G1387" s="3"/>
      <c r="H1387" s="3"/>
      <c r="K1387" s="3"/>
      <c r="L1387" s="3"/>
      <c r="O1387" s="11"/>
      <c r="P1387" s="3"/>
      <c r="Q1387" s="9"/>
    </row>
    <row r="1388" spans="2:17" x14ac:dyDescent="0.25">
      <c r="B1388" s="1"/>
      <c r="E1388" s="3"/>
      <c r="F1388" s="3"/>
      <c r="G1388" s="3"/>
      <c r="H1388" s="3"/>
      <c r="K1388" s="3"/>
      <c r="L1388" s="3"/>
      <c r="O1388" s="11"/>
      <c r="P1388" s="3"/>
      <c r="Q1388" s="9"/>
    </row>
    <row r="1389" spans="2:17" x14ac:dyDescent="0.25">
      <c r="B1389" s="1"/>
      <c r="E1389" s="3"/>
      <c r="F1389" s="3"/>
      <c r="G1389" s="3"/>
      <c r="H1389" s="3"/>
      <c r="K1389" s="3"/>
      <c r="L1389" s="3"/>
      <c r="O1389" s="11"/>
      <c r="P1389" s="3"/>
      <c r="Q1389" s="9"/>
    </row>
    <row r="1390" spans="2:17" x14ac:dyDescent="0.25">
      <c r="B1390" s="1"/>
      <c r="E1390" s="3"/>
      <c r="F1390" s="3"/>
      <c r="G1390" s="3"/>
      <c r="H1390" s="3"/>
      <c r="K1390" s="3"/>
      <c r="L1390" s="3"/>
      <c r="O1390" s="11"/>
      <c r="P1390" s="3"/>
      <c r="Q1390" s="9"/>
    </row>
    <row r="1391" spans="2:17" x14ac:dyDescent="0.25">
      <c r="B1391" s="1"/>
      <c r="E1391" s="3"/>
      <c r="F1391" s="3"/>
      <c r="G1391" s="3"/>
      <c r="H1391" s="3"/>
      <c r="K1391" s="3"/>
      <c r="L1391" s="3"/>
      <c r="O1391" s="11"/>
      <c r="P1391" s="3"/>
      <c r="Q1391" s="9"/>
    </row>
    <row r="1392" spans="2:17" x14ac:dyDescent="0.25">
      <c r="B1392" s="1"/>
      <c r="E1392" s="3"/>
      <c r="F1392" s="3"/>
      <c r="G1392" s="3"/>
      <c r="H1392" s="3"/>
      <c r="K1392" s="3"/>
      <c r="L1392" s="3"/>
      <c r="O1392" s="11"/>
      <c r="P1392" s="3"/>
      <c r="Q1392" s="9"/>
    </row>
    <row r="1393" spans="2:17" x14ac:dyDescent="0.25">
      <c r="B1393" s="1"/>
      <c r="E1393" s="3"/>
      <c r="F1393" s="3"/>
      <c r="G1393" s="3"/>
      <c r="H1393" s="3"/>
      <c r="K1393" s="3"/>
      <c r="L1393" s="3"/>
      <c r="O1393" s="11"/>
      <c r="P1393" s="3"/>
      <c r="Q1393" s="9"/>
    </row>
    <row r="1394" spans="2:17" x14ac:dyDescent="0.25">
      <c r="B1394" s="1"/>
      <c r="E1394" s="3"/>
      <c r="F1394" s="3"/>
      <c r="G1394" s="3"/>
      <c r="H1394" s="3"/>
      <c r="K1394" s="3"/>
      <c r="L1394" s="3"/>
      <c r="O1394" s="11"/>
      <c r="P1394" s="3"/>
      <c r="Q1394" s="9"/>
    </row>
    <row r="1395" spans="2:17" x14ac:dyDescent="0.25">
      <c r="B1395" s="1"/>
      <c r="E1395" s="3"/>
      <c r="F1395" s="3"/>
      <c r="G1395" s="3"/>
      <c r="H1395" s="3"/>
      <c r="K1395" s="3"/>
      <c r="L1395" s="3"/>
      <c r="O1395" s="11"/>
      <c r="P1395" s="3"/>
      <c r="Q1395" s="9"/>
    </row>
    <row r="1396" spans="2:17" x14ac:dyDescent="0.25">
      <c r="B1396" s="1"/>
      <c r="E1396" s="3"/>
      <c r="F1396" s="3"/>
      <c r="G1396" s="3"/>
      <c r="H1396" s="3"/>
      <c r="K1396" s="3"/>
      <c r="L1396" s="3"/>
      <c r="O1396" s="11"/>
      <c r="P1396" s="3"/>
      <c r="Q1396" s="9"/>
    </row>
    <row r="1397" spans="2:17" x14ac:dyDescent="0.25">
      <c r="B1397" s="1"/>
      <c r="E1397" s="3"/>
      <c r="F1397" s="3"/>
      <c r="G1397" s="3"/>
      <c r="H1397" s="3"/>
      <c r="K1397" s="3"/>
      <c r="L1397" s="3"/>
      <c r="O1397" s="11"/>
      <c r="P1397" s="3"/>
      <c r="Q1397" s="9"/>
    </row>
    <row r="1398" spans="2:17" x14ac:dyDescent="0.25">
      <c r="B1398" s="1"/>
      <c r="E1398" s="3"/>
      <c r="F1398" s="3"/>
      <c r="G1398" s="3"/>
      <c r="H1398" s="3"/>
      <c r="K1398" s="3"/>
      <c r="L1398" s="3"/>
      <c r="O1398" s="11"/>
      <c r="P1398" s="3"/>
      <c r="Q1398" s="9"/>
    </row>
    <row r="1399" spans="2:17" x14ac:dyDescent="0.25">
      <c r="B1399" s="1"/>
      <c r="E1399" s="3"/>
      <c r="F1399" s="3"/>
      <c r="G1399" s="3"/>
      <c r="H1399" s="3"/>
      <c r="K1399" s="3"/>
      <c r="L1399" s="3"/>
      <c r="O1399" s="11"/>
      <c r="P1399" s="3"/>
      <c r="Q1399" s="9"/>
    </row>
    <row r="1400" spans="2:17" x14ac:dyDescent="0.25">
      <c r="B1400" s="1"/>
      <c r="E1400" s="3"/>
      <c r="F1400" s="3"/>
      <c r="G1400" s="3"/>
      <c r="H1400" s="3"/>
      <c r="K1400" s="3"/>
      <c r="L1400" s="3"/>
      <c r="O1400" s="11"/>
      <c r="P1400" s="3"/>
      <c r="Q1400" s="9"/>
    </row>
    <row r="1401" spans="2:17" x14ac:dyDescent="0.25">
      <c r="B1401" s="1"/>
      <c r="E1401" s="3"/>
      <c r="F1401" s="3"/>
      <c r="G1401" s="3"/>
      <c r="H1401" s="3"/>
      <c r="K1401" s="3"/>
      <c r="L1401" s="3"/>
      <c r="O1401" s="11"/>
      <c r="P1401" s="3"/>
      <c r="Q1401" s="9"/>
    </row>
    <row r="1402" spans="2:17" x14ac:dyDescent="0.25">
      <c r="B1402" s="1"/>
      <c r="E1402" s="3"/>
      <c r="F1402" s="3"/>
      <c r="G1402" s="3"/>
      <c r="H1402" s="3"/>
      <c r="K1402" s="3"/>
      <c r="L1402" s="3"/>
      <c r="O1402" s="11"/>
      <c r="P1402" s="3"/>
      <c r="Q1402" s="9"/>
    </row>
    <row r="1403" spans="2:17" x14ac:dyDescent="0.25">
      <c r="B1403" s="1"/>
      <c r="E1403" s="3"/>
      <c r="F1403" s="3"/>
      <c r="G1403" s="3"/>
      <c r="H1403" s="3"/>
      <c r="K1403" s="3"/>
      <c r="L1403" s="3"/>
      <c r="O1403" s="11"/>
      <c r="P1403" s="3"/>
      <c r="Q1403" s="9"/>
    </row>
    <row r="1404" spans="2:17" x14ac:dyDescent="0.25">
      <c r="B1404" s="1"/>
      <c r="E1404" s="3"/>
      <c r="F1404" s="3"/>
      <c r="G1404" s="3"/>
      <c r="H1404" s="3"/>
      <c r="K1404" s="3"/>
      <c r="L1404" s="3"/>
      <c r="O1404" s="11"/>
      <c r="P1404" s="3"/>
      <c r="Q1404" s="9"/>
    </row>
    <row r="1405" spans="2:17" x14ac:dyDescent="0.25">
      <c r="B1405" s="1"/>
      <c r="E1405" s="3"/>
      <c r="F1405" s="3"/>
      <c r="G1405" s="3"/>
      <c r="H1405" s="3"/>
      <c r="K1405" s="3"/>
      <c r="L1405" s="3"/>
      <c r="O1405" s="11"/>
      <c r="P1405" s="3"/>
      <c r="Q1405" s="9"/>
    </row>
    <row r="1406" spans="2:17" x14ac:dyDescent="0.25">
      <c r="B1406" s="1"/>
      <c r="E1406" s="3"/>
      <c r="F1406" s="3"/>
      <c r="G1406" s="3"/>
      <c r="H1406" s="3"/>
      <c r="K1406" s="3"/>
      <c r="L1406" s="3"/>
      <c r="O1406" s="11"/>
      <c r="P1406" s="3"/>
      <c r="Q1406" s="9"/>
    </row>
    <row r="1407" spans="2:17" x14ac:dyDescent="0.25">
      <c r="B1407" s="1"/>
      <c r="E1407" s="3"/>
      <c r="F1407" s="3"/>
      <c r="G1407" s="3"/>
      <c r="H1407" s="3"/>
      <c r="K1407" s="3"/>
      <c r="L1407" s="3"/>
      <c r="O1407" s="11"/>
      <c r="P1407" s="3"/>
      <c r="Q1407" s="9"/>
    </row>
    <row r="1408" spans="2:17" x14ac:dyDescent="0.25">
      <c r="B1408" s="1"/>
      <c r="E1408" s="3"/>
      <c r="F1408" s="3"/>
      <c r="G1408" s="3"/>
      <c r="H1408" s="3"/>
      <c r="K1408" s="3"/>
      <c r="L1408" s="3"/>
      <c r="O1408" s="11"/>
      <c r="P1408" s="3"/>
      <c r="Q1408" s="9"/>
    </row>
    <row r="1409" spans="2:17" x14ac:dyDescent="0.25">
      <c r="B1409" s="1"/>
      <c r="E1409" s="3"/>
      <c r="F1409" s="3"/>
      <c r="G1409" s="3"/>
      <c r="H1409" s="3"/>
      <c r="K1409" s="3"/>
      <c r="L1409" s="3"/>
      <c r="O1409" s="11"/>
      <c r="P1409" s="3"/>
      <c r="Q1409" s="9"/>
    </row>
    <row r="1410" spans="2:17" x14ac:dyDescent="0.25">
      <c r="B1410" s="1"/>
      <c r="E1410" s="3"/>
      <c r="F1410" s="3"/>
      <c r="G1410" s="3"/>
      <c r="H1410" s="3"/>
      <c r="K1410" s="3"/>
      <c r="L1410" s="3"/>
      <c r="O1410" s="11"/>
      <c r="P1410" s="3"/>
      <c r="Q1410" s="9"/>
    </row>
    <row r="1411" spans="2:17" x14ac:dyDescent="0.25">
      <c r="B1411" s="1"/>
      <c r="E1411" s="3"/>
      <c r="F1411" s="3"/>
      <c r="G1411" s="3"/>
      <c r="H1411" s="3"/>
      <c r="K1411" s="3"/>
      <c r="L1411" s="3"/>
      <c r="O1411" s="11"/>
      <c r="P1411" s="3"/>
      <c r="Q1411" s="9"/>
    </row>
    <row r="1412" spans="2:17" x14ac:dyDescent="0.25">
      <c r="B1412" s="1"/>
      <c r="E1412" s="3"/>
      <c r="F1412" s="3"/>
      <c r="G1412" s="3"/>
      <c r="H1412" s="3"/>
      <c r="K1412" s="3"/>
      <c r="L1412" s="3"/>
      <c r="O1412" s="11"/>
      <c r="P1412" s="3"/>
      <c r="Q1412" s="9"/>
    </row>
    <row r="1413" spans="2:17" x14ac:dyDescent="0.25">
      <c r="B1413" s="1"/>
      <c r="E1413" s="3"/>
      <c r="F1413" s="3"/>
      <c r="G1413" s="3"/>
      <c r="H1413" s="3"/>
      <c r="K1413" s="3"/>
      <c r="L1413" s="3"/>
      <c r="O1413" s="11"/>
      <c r="P1413" s="3"/>
      <c r="Q1413" s="9"/>
    </row>
    <row r="1414" spans="2:17" x14ac:dyDescent="0.25">
      <c r="B1414" s="1"/>
      <c r="E1414" s="3"/>
      <c r="F1414" s="3"/>
      <c r="G1414" s="3"/>
      <c r="H1414" s="3"/>
      <c r="K1414" s="3"/>
      <c r="L1414" s="3"/>
      <c r="O1414" s="11"/>
      <c r="P1414" s="3"/>
      <c r="Q1414" s="9"/>
    </row>
    <row r="1415" spans="2:17" x14ac:dyDescent="0.25">
      <c r="B1415" s="1"/>
      <c r="E1415" s="3"/>
      <c r="F1415" s="3"/>
      <c r="G1415" s="3"/>
      <c r="H1415" s="3"/>
      <c r="K1415" s="3"/>
      <c r="L1415" s="3"/>
      <c r="O1415" s="11"/>
      <c r="P1415" s="3"/>
      <c r="Q1415" s="9"/>
    </row>
    <row r="1416" spans="2:17" x14ac:dyDescent="0.25">
      <c r="B1416" s="1"/>
      <c r="E1416" s="3"/>
      <c r="F1416" s="3"/>
      <c r="G1416" s="3"/>
      <c r="H1416" s="3"/>
      <c r="K1416" s="3"/>
      <c r="L1416" s="3"/>
      <c r="O1416" s="11"/>
      <c r="P1416" s="3"/>
      <c r="Q1416" s="9"/>
    </row>
    <row r="1417" spans="2:17" x14ac:dyDescent="0.25">
      <c r="B1417" s="1"/>
      <c r="E1417" s="3"/>
      <c r="F1417" s="3"/>
      <c r="G1417" s="3"/>
      <c r="H1417" s="3"/>
      <c r="K1417" s="3"/>
      <c r="L1417" s="3"/>
      <c r="O1417" s="11"/>
      <c r="P1417" s="3"/>
      <c r="Q1417" s="9"/>
    </row>
    <row r="1418" spans="2:17" x14ac:dyDescent="0.25">
      <c r="B1418" s="1"/>
      <c r="E1418" s="3"/>
      <c r="F1418" s="3"/>
      <c r="G1418" s="3"/>
      <c r="H1418" s="3"/>
      <c r="K1418" s="3"/>
      <c r="L1418" s="3"/>
      <c r="O1418" s="11"/>
      <c r="P1418" s="3"/>
      <c r="Q1418" s="9"/>
    </row>
    <row r="1419" spans="2:17" x14ac:dyDescent="0.25">
      <c r="B1419" s="1"/>
      <c r="E1419" s="3"/>
      <c r="F1419" s="3"/>
      <c r="G1419" s="3"/>
      <c r="H1419" s="3"/>
      <c r="K1419" s="3"/>
      <c r="L1419" s="3"/>
      <c r="O1419" s="11"/>
      <c r="P1419" s="3"/>
      <c r="Q1419" s="9"/>
    </row>
    <row r="1420" spans="2:17" x14ac:dyDescent="0.25">
      <c r="B1420" s="1"/>
      <c r="E1420" s="3"/>
      <c r="F1420" s="3"/>
      <c r="G1420" s="3"/>
      <c r="H1420" s="3"/>
      <c r="K1420" s="3"/>
      <c r="L1420" s="3"/>
      <c r="O1420" s="11"/>
      <c r="P1420" s="3"/>
      <c r="Q1420" s="9"/>
    </row>
    <row r="1421" spans="2:17" x14ac:dyDescent="0.25">
      <c r="B1421" s="1"/>
      <c r="E1421" s="3"/>
      <c r="F1421" s="3"/>
      <c r="G1421" s="3"/>
      <c r="H1421" s="3"/>
      <c r="K1421" s="3"/>
      <c r="L1421" s="3"/>
      <c r="O1421" s="11"/>
      <c r="P1421" s="3"/>
      <c r="Q1421" s="9"/>
    </row>
    <row r="1422" spans="2:17" x14ac:dyDescent="0.25">
      <c r="B1422" s="1"/>
      <c r="E1422" s="3"/>
      <c r="F1422" s="3"/>
      <c r="G1422" s="3"/>
      <c r="H1422" s="3"/>
      <c r="K1422" s="3"/>
      <c r="L1422" s="3"/>
      <c r="O1422" s="11"/>
      <c r="P1422" s="3"/>
      <c r="Q1422" s="9"/>
    </row>
    <row r="1423" spans="2:17" x14ac:dyDescent="0.25">
      <c r="B1423" s="1"/>
      <c r="E1423" s="3"/>
      <c r="F1423" s="3"/>
      <c r="G1423" s="3"/>
      <c r="H1423" s="3"/>
      <c r="K1423" s="3"/>
      <c r="L1423" s="3"/>
      <c r="O1423" s="11"/>
      <c r="P1423" s="3"/>
      <c r="Q1423" s="9"/>
    </row>
    <row r="1424" spans="2:17" x14ac:dyDescent="0.25">
      <c r="B1424" s="1"/>
      <c r="E1424" s="3"/>
      <c r="F1424" s="3"/>
      <c r="G1424" s="3"/>
      <c r="H1424" s="3"/>
      <c r="K1424" s="3"/>
      <c r="L1424" s="3"/>
      <c r="O1424" s="11"/>
      <c r="P1424" s="3"/>
      <c r="Q1424" s="9"/>
    </row>
    <row r="1425" spans="2:17" x14ac:dyDescent="0.25">
      <c r="B1425" s="1"/>
      <c r="E1425" s="3"/>
      <c r="F1425" s="3"/>
      <c r="G1425" s="3"/>
      <c r="H1425" s="3"/>
      <c r="K1425" s="3"/>
      <c r="L1425" s="3"/>
      <c r="O1425" s="11"/>
      <c r="P1425" s="3"/>
      <c r="Q1425" s="9"/>
    </row>
    <row r="1426" spans="2:17" x14ac:dyDescent="0.25">
      <c r="B1426" s="1"/>
      <c r="E1426" s="3"/>
      <c r="F1426" s="3"/>
      <c r="G1426" s="3"/>
      <c r="H1426" s="3"/>
      <c r="K1426" s="3"/>
      <c r="L1426" s="3"/>
      <c r="O1426" s="11"/>
      <c r="P1426" s="3"/>
      <c r="Q1426" s="9"/>
    </row>
    <row r="1427" spans="2:17" x14ac:dyDescent="0.25">
      <c r="B1427" s="1"/>
      <c r="E1427" s="3"/>
      <c r="F1427" s="3"/>
      <c r="G1427" s="3"/>
      <c r="H1427" s="3"/>
      <c r="K1427" s="3"/>
      <c r="L1427" s="3"/>
      <c r="O1427" s="11"/>
      <c r="P1427" s="3"/>
      <c r="Q1427" s="9"/>
    </row>
    <row r="1428" spans="2:17" x14ac:dyDescent="0.25">
      <c r="B1428" s="1"/>
      <c r="E1428" s="3"/>
      <c r="F1428" s="3"/>
      <c r="G1428" s="3"/>
      <c r="H1428" s="3"/>
      <c r="K1428" s="3"/>
      <c r="L1428" s="3"/>
      <c r="O1428" s="11"/>
      <c r="P1428" s="3"/>
      <c r="Q1428" s="9"/>
    </row>
    <row r="1429" spans="2:17" x14ac:dyDescent="0.25">
      <c r="B1429" s="1"/>
      <c r="E1429" s="3"/>
      <c r="F1429" s="3"/>
      <c r="G1429" s="3"/>
      <c r="H1429" s="3"/>
      <c r="K1429" s="3"/>
      <c r="L1429" s="3"/>
      <c r="O1429" s="11"/>
      <c r="P1429" s="3"/>
      <c r="Q1429" s="9"/>
    </row>
    <row r="1430" spans="2:17" x14ac:dyDescent="0.25">
      <c r="B1430" s="1"/>
      <c r="E1430" s="3"/>
      <c r="F1430" s="3"/>
      <c r="G1430" s="3"/>
      <c r="H1430" s="3"/>
      <c r="K1430" s="3"/>
      <c r="L1430" s="3"/>
      <c r="O1430" s="11"/>
      <c r="P1430" s="3"/>
      <c r="Q1430" s="9"/>
    </row>
    <row r="1431" spans="2:17" x14ac:dyDescent="0.25">
      <c r="B1431" s="1"/>
      <c r="E1431" s="3"/>
      <c r="F1431" s="3"/>
      <c r="G1431" s="3"/>
      <c r="H1431" s="3"/>
      <c r="K1431" s="3"/>
      <c r="L1431" s="3"/>
      <c r="O1431" s="11"/>
      <c r="P1431" s="3"/>
      <c r="Q1431" s="9"/>
    </row>
    <row r="1432" spans="2:17" x14ac:dyDescent="0.25">
      <c r="B1432" s="1"/>
      <c r="E1432" s="3"/>
      <c r="F1432" s="3"/>
      <c r="G1432" s="3"/>
      <c r="H1432" s="3"/>
      <c r="K1432" s="3"/>
      <c r="L1432" s="3"/>
      <c r="O1432" s="11"/>
      <c r="P1432" s="3"/>
      <c r="Q1432" s="9"/>
    </row>
    <row r="1433" spans="2:17" x14ac:dyDescent="0.25">
      <c r="B1433" s="1"/>
      <c r="E1433" s="3"/>
      <c r="F1433" s="3"/>
      <c r="G1433" s="3"/>
      <c r="H1433" s="3"/>
      <c r="K1433" s="3"/>
      <c r="L1433" s="3"/>
      <c r="O1433" s="11"/>
      <c r="P1433" s="3"/>
      <c r="Q1433" s="9"/>
    </row>
    <row r="1434" spans="2:17" x14ac:dyDescent="0.25">
      <c r="B1434" s="1"/>
      <c r="E1434" s="3"/>
      <c r="F1434" s="3"/>
      <c r="G1434" s="3"/>
      <c r="H1434" s="3"/>
      <c r="K1434" s="3"/>
      <c r="L1434" s="3"/>
      <c r="O1434" s="11"/>
      <c r="P1434" s="3"/>
      <c r="Q1434" s="9"/>
    </row>
    <row r="1435" spans="2:17" x14ac:dyDescent="0.25">
      <c r="B1435" s="1"/>
      <c r="E1435" s="3"/>
      <c r="F1435" s="3"/>
      <c r="G1435" s="3"/>
      <c r="H1435" s="3"/>
      <c r="K1435" s="3"/>
      <c r="L1435" s="3"/>
      <c r="O1435" s="11"/>
      <c r="P1435" s="3"/>
      <c r="Q1435" s="9"/>
    </row>
    <row r="1436" spans="2:17" x14ac:dyDescent="0.25">
      <c r="B1436" s="1"/>
      <c r="E1436" s="3"/>
      <c r="F1436" s="3"/>
      <c r="G1436" s="3"/>
      <c r="H1436" s="3"/>
      <c r="K1436" s="3"/>
      <c r="L1436" s="3"/>
      <c r="O1436" s="11"/>
      <c r="P1436" s="3"/>
      <c r="Q1436" s="9"/>
    </row>
    <row r="1437" spans="2:17" x14ac:dyDescent="0.25">
      <c r="B1437" s="1"/>
      <c r="E1437" s="3"/>
      <c r="F1437" s="3"/>
      <c r="G1437" s="3"/>
      <c r="H1437" s="3"/>
      <c r="K1437" s="3"/>
      <c r="L1437" s="3"/>
      <c r="O1437" s="11"/>
      <c r="P1437" s="3"/>
      <c r="Q1437" s="9"/>
    </row>
    <row r="1438" spans="2:17" x14ac:dyDescent="0.25">
      <c r="B1438" s="1"/>
      <c r="E1438" s="3"/>
      <c r="F1438" s="3"/>
      <c r="G1438" s="3"/>
      <c r="H1438" s="3"/>
      <c r="K1438" s="3"/>
      <c r="L1438" s="3"/>
      <c r="O1438" s="11"/>
      <c r="P1438" s="3"/>
      <c r="Q1438" s="9"/>
    </row>
    <row r="1439" spans="2:17" x14ac:dyDescent="0.25">
      <c r="B1439" s="1"/>
      <c r="E1439" s="3"/>
      <c r="F1439" s="3"/>
      <c r="G1439" s="3"/>
      <c r="H1439" s="3"/>
      <c r="K1439" s="3"/>
      <c r="L1439" s="3"/>
      <c r="O1439" s="11"/>
      <c r="P1439" s="3"/>
      <c r="Q1439" s="9"/>
    </row>
    <row r="1440" spans="2:17" x14ac:dyDescent="0.25">
      <c r="B1440" s="1"/>
      <c r="E1440" s="3"/>
      <c r="F1440" s="3"/>
      <c r="G1440" s="3"/>
      <c r="H1440" s="3"/>
      <c r="K1440" s="3"/>
      <c r="L1440" s="3"/>
      <c r="O1440" s="11"/>
      <c r="P1440" s="3"/>
      <c r="Q1440" s="9"/>
    </row>
    <row r="1441" spans="2:17" x14ac:dyDescent="0.25">
      <c r="B1441" s="1"/>
      <c r="E1441" s="3"/>
      <c r="F1441" s="3"/>
      <c r="G1441" s="3"/>
      <c r="H1441" s="3"/>
      <c r="K1441" s="3"/>
      <c r="L1441" s="3"/>
      <c r="O1441" s="11"/>
      <c r="P1441" s="3"/>
      <c r="Q1441" s="9"/>
    </row>
  </sheetData>
  <autoFilter ref="A1:M1441" xr:uid="{F064C282-5281-4E7C-8966-29761E624419}"/>
  <phoneticPr fontId="2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154-A29F-4AB8-B63B-3EF8C51EDA35}">
  <dimension ref="A1:S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" sqref="G3"/>
    </sheetView>
  </sheetViews>
  <sheetFormatPr defaultRowHeight="15" x14ac:dyDescent="0.25"/>
  <cols>
    <col min="6" max="6" width="12.28515625" customWidth="1"/>
    <col min="7" max="7" width="22.85546875" customWidth="1"/>
    <col min="8" max="8" width="18" customWidth="1"/>
    <col min="9" max="9" width="16.7109375" customWidth="1"/>
    <col min="13" max="13" width="19.5703125" customWidth="1"/>
    <col min="17" max="17" width="29.42578125" style="11" customWidth="1"/>
  </cols>
  <sheetData>
    <row r="1" spans="1:19" x14ac:dyDescent="0.25">
      <c r="A1" s="2" t="s">
        <v>2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10" t="s">
        <v>23</v>
      </c>
      <c r="H1" s="10" t="s">
        <v>25</v>
      </c>
      <c r="I1" s="10" t="s">
        <v>22</v>
      </c>
      <c r="J1" s="2" t="s">
        <v>26</v>
      </c>
      <c r="K1" s="8" t="s">
        <v>27</v>
      </c>
      <c r="L1" s="8"/>
      <c r="M1" t="s">
        <v>29</v>
      </c>
      <c r="N1" t="s">
        <v>30</v>
      </c>
      <c r="O1" t="s">
        <v>31</v>
      </c>
      <c r="Q1" s="11" t="s">
        <v>32</v>
      </c>
      <c r="R1" t="s">
        <v>30</v>
      </c>
      <c r="S1" t="s">
        <v>31</v>
      </c>
    </row>
    <row r="2" spans="1:19" x14ac:dyDescent="0.25">
      <c r="A2">
        <v>0</v>
      </c>
      <c r="B2">
        <f>IF(A2&gt;=0,A2,0)</f>
        <v>0</v>
      </c>
      <c r="C2" s="3">
        <f>B2*0.0254</f>
        <v>0</v>
      </c>
      <c r="D2" s="3">
        <f>IF(C2&gt;0, C2+0.0008, 0)</f>
        <v>0</v>
      </c>
      <c r="E2" s="3">
        <f>IF(C2&gt;'Weir dims'!$D$7, C2-'Weir dims'!$D$7, 0)</f>
        <v>0</v>
      </c>
      <c r="F2" s="3">
        <f>IF(E2&gt;0, E2+0.0008, 0)</f>
        <v>0</v>
      </c>
      <c r="G2" s="11">
        <f>(8/15) * 'Weir dims'!$B$21 * ((2*9.81)^0.5)*(TAN(RADIANS('Weir dims'!$B$2)/2)) * ((D2^2.5) - (F2^2.5))</f>
        <v>0</v>
      </c>
      <c r="H2" s="11">
        <f>(2/3) * 'Weir dims'!$B$22 * ((2*9.81)^0.5) * ('Weir dims'!$D$4  + 'Weir dims'!$D$5) * (F2 ^1.5)</f>
        <v>0</v>
      </c>
      <c r="I2" s="3">
        <f xml:space="preserve"> IF(H2&gt;0, ( G2+H2 ) * 1.092, G2)</f>
        <v>0</v>
      </c>
      <c r="J2" s="3">
        <f>I2 * 15850.372483753</f>
        <v>0</v>
      </c>
      <c r="K2" s="9">
        <f>I2 * 35.3146667</f>
        <v>0</v>
      </c>
      <c r="L2" s="9"/>
      <c r="M2" s="11">
        <f>(8/15) * 'Weir dims'!$B$21 * ((2*9.81)^0.5)*(TAN(RADIANS('Weir dims'!$B$2)/2)) * (D2^2.5)</f>
        <v>0</v>
      </c>
      <c r="N2" s="3">
        <f>M2 * 15850.372483753</f>
        <v>0</v>
      </c>
      <c r="O2" s="9">
        <f>M2 * 35.3146667</f>
        <v>0</v>
      </c>
      <c r="Q2" s="11">
        <f>(2/3)*'Weir dims'!$B$22*((2*9.81)^0.5)*('Weir dims'!$D$4  + 'Weir dims'!$D$5)*(D2^1.5)</f>
        <v>0</v>
      </c>
      <c r="R2" s="3">
        <f>Q2 * 15850.372483753</f>
        <v>0</v>
      </c>
      <c r="S2" s="9">
        <f>Q2 * 35.3146667</f>
        <v>0</v>
      </c>
    </row>
    <row r="3" spans="1:19" x14ac:dyDescent="0.25">
      <c r="A3">
        <f>A2+0.25</f>
        <v>0.25</v>
      </c>
      <c r="B3">
        <f t="shared" ref="B3:B50" si="0">IF(A3&gt;=0,A3,0)</f>
        <v>0.25</v>
      </c>
      <c r="C3" s="3">
        <f t="shared" ref="C3:C50" si="1">B3*0.0254</f>
        <v>6.3499999999999997E-3</v>
      </c>
      <c r="D3" s="3">
        <f t="shared" ref="D3:D50" si="2">IF(C3&gt;0, C3+0.0008, 0)</f>
        <v>7.1500000000000001E-3</v>
      </c>
      <c r="E3" s="3">
        <f>IF(C3&gt;'Weir dims'!$D$7, C3-'Weir dims'!$D$7, 0)</f>
        <v>0</v>
      </c>
      <c r="F3" s="3">
        <f t="shared" ref="F3:F50" si="3">IF(E3&gt;0, E3+0.0008, 0)</f>
        <v>0</v>
      </c>
      <c r="G3" s="11">
        <f>(8/15) * 'Weir dims'!$B$21 * ((2*9.81)^0.5)*(TAN(RADIANS('Weir dims'!$B$2)/2)) * ((D3^2.5) - (F3^2.5))</f>
        <v>5.9127824154906445E-6</v>
      </c>
      <c r="H3" s="11">
        <f>(2/3) * 'Weir dims'!$B$22 * ((2*9.81)^0.5) * ('Weir dims'!$D$4  + 'Weir dims'!$D$5) * (F3 ^1.5)</f>
        <v>0</v>
      </c>
      <c r="I3" s="3">
        <f t="shared" ref="I3:I42" si="4" xml:space="preserve"> IF(H3&gt;0, ( G3+H3 ) * 1.092, G3)</f>
        <v>5.9127824154906445E-6</v>
      </c>
      <c r="J3" s="3">
        <f t="shared" ref="J3:J50" si="5">I3 * 15850.372483753</f>
        <v>9.3719803700911514E-2</v>
      </c>
      <c r="K3" s="9">
        <f t="shared" ref="K3:K42" si="6">I3 * 35.3146667</f>
        <v>2.0880794027267302E-4</v>
      </c>
      <c r="L3" s="9"/>
      <c r="M3" s="11">
        <f>(8/15) * 'Weir dims'!$B$21 * ((2*9.81)^0.5)*(TAN(RADIANS('Weir dims'!$B$2)/2)) * (D3^2.5)</f>
        <v>5.9127824154906445E-6</v>
      </c>
      <c r="N3" s="3">
        <f t="shared" ref="N3:N50" si="7">M3 * 15850.372483753</f>
        <v>9.3719803700911514E-2</v>
      </c>
      <c r="O3" s="9">
        <f t="shared" ref="O3:O42" si="8">M3 * 35.3146667</f>
        <v>2.0880794027267302E-4</v>
      </c>
      <c r="Q3" s="11">
        <f>(2/3)*'Weir dims'!$B$22*((2*9.81)^0.5)*('Weir dims'!$D$4  + 'Weir dims'!$D$5)*(D3^1.5)</f>
        <v>1.8728417121085324E-4</v>
      </c>
      <c r="R3" s="3">
        <f t="shared" ref="R3:R50" si="9">Q3 * 15850.372483753</f>
        <v>2.9685238740029942</v>
      </c>
      <c r="S3" s="9">
        <f t="shared" ref="S3:S42" si="10">Q3 * 35.3146667</f>
        <v>6.6138780844970171E-3</v>
      </c>
    </row>
    <row r="4" spans="1:19" x14ac:dyDescent="0.25">
      <c r="A4">
        <f t="shared" ref="A4:A42" si="11">A3+0.25</f>
        <v>0.5</v>
      </c>
      <c r="B4">
        <f t="shared" si="0"/>
        <v>0.5</v>
      </c>
      <c r="C4" s="3">
        <f t="shared" si="1"/>
        <v>1.2699999999999999E-2</v>
      </c>
      <c r="D4" s="3">
        <f t="shared" si="2"/>
        <v>1.35E-2</v>
      </c>
      <c r="E4" s="3">
        <f>IF(C4&gt;'Weir dims'!$D$7, C4-'Weir dims'!$D$7, 0)</f>
        <v>0</v>
      </c>
      <c r="F4" s="3">
        <f t="shared" si="3"/>
        <v>0</v>
      </c>
      <c r="G4" s="11">
        <f>(8/15) * 'Weir dims'!$B$21 * ((2*9.81)^0.5)*(TAN(RADIANS('Weir dims'!$B$2)/2)) * ((D4^2.5) - (F4^2.5))</f>
        <v>2.8964178442841625E-5</v>
      </c>
      <c r="H4" s="11">
        <f>(2/3) * 'Weir dims'!$B$22 * ((2*9.81)^0.5) * ('Weir dims'!$D$4  + 'Weir dims'!$D$5) * (F4 ^1.5)</f>
        <v>0</v>
      </c>
      <c r="I4" s="3">
        <f t="shared" si="4"/>
        <v>2.8964178442841625E-5</v>
      </c>
      <c r="J4" s="3">
        <f t="shared" si="5"/>
        <v>0.45909301700492872</v>
      </c>
      <c r="K4" s="9">
        <f t="shared" si="6"/>
        <v>1.0228603079482769E-3</v>
      </c>
      <c r="L4" s="9"/>
      <c r="M4" s="11">
        <f>(8/15) * 'Weir dims'!$B$21 * ((2*9.81)^0.5)*(TAN(RADIANS('Weir dims'!$B$2)/2)) * (D4^2.5)</f>
        <v>2.8964178442841625E-5</v>
      </c>
      <c r="N4" s="3">
        <f t="shared" si="7"/>
        <v>0.45909301700492872</v>
      </c>
      <c r="O4" s="9">
        <f t="shared" si="8"/>
        <v>1.0228603079482769E-3</v>
      </c>
      <c r="Q4" s="11">
        <f>(2/3)*'Weir dims'!$B$22*((2*9.81)^0.5)*('Weir dims'!$D$4  + 'Weir dims'!$D$5)*(D4^1.5)</f>
        <v>4.858952611480483E-4</v>
      </c>
      <c r="R4" s="3">
        <f t="shared" si="9"/>
        <v>7.7016208772870032</v>
      </c>
      <c r="S4" s="9">
        <f t="shared" si="10"/>
        <v>1.7159229198552783E-2</v>
      </c>
    </row>
    <row r="5" spans="1:19" x14ac:dyDescent="0.25">
      <c r="A5">
        <f t="shared" si="11"/>
        <v>0.75</v>
      </c>
      <c r="B5">
        <f t="shared" si="0"/>
        <v>0.75</v>
      </c>
      <c r="C5" s="3">
        <f t="shared" si="1"/>
        <v>1.9049999999999997E-2</v>
      </c>
      <c r="D5" s="3">
        <f t="shared" si="2"/>
        <v>1.9849999999999996E-2</v>
      </c>
      <c r="E5" s="3">
        <f>IF(C5&gt;'Weir dims'!$D$7, C5-'Weir dims'!$D$7, 0)</f>
        <v>0</v>
      </c>
      <c r="F5" s="3">
        <f t="shared" si="3"/>
        <v>0</v>
      </c>
      <c r="G5" s="11">
        <f>(8/15) * 'Weir dims'!$B$21 * ((2*9.81)^0.5)*(TAN(RADIANS('Weir dims'!$B$2)/2)) * ((D5^2.5) - (F5^2.5))</f>
        <v>7.5932565061525502E-5</v>
      </c>
      <c r="H5" s="11">
        <f>(2/3) * 'Weir dims'!$B$22 * ((2*9.81)^0.5) * ('Weir dims'!$D$4  + 'Weir dims'!$D$5) * (F5 ^1.5)</f>
        <v>0</v>
      </c>
      <c r="I5" s="3">
        <f t="shared" si="4"/>
        <v>7.5932565061525502E-5</v>
      </c>
      <c r="J5" s="3">
        <f t="shared" si="5"/>
        <v>1.2035594398719882</v>
      </c>
      <c r="K5" s="9">
        <f t="shared" si="6"/>
        <v>2.6815332268238378E-3</v>
      </c>
      <c r="L5" s="9"/>
      <c r="M5" s="11">
        <f>(8/15) * 'Weir dims'!$B$21 * ((2*9.81)^0.5)*(TAN(RADIANS('Weir dims'!$B$2)/2)) * (D5^2.5)</f>
        <v>7.5932565061525502E-5</v>
      </c>
      <c r="N5" s="3">
        <f t="shared" si="7"/>
        <v>1.2035594398719882</v>
      </c>
      <c r="O5" s="9">
        <f t="shared" si="8"/>
        <v>2.6815332268238378E-3</v>
      </c>
      <c r="Q5" s="11">
        <f>(2/3)*'Weir dims'!$B$22*((2*9.81)^0.5)*('Weir dims'!$D$4  + 'Weir dims'!$D$5)*(D5^1.5)</f>
        <v>8.6632885023733147E-4</v>
      </c>
      <c r="R5" s="3">
        <f t="shared" si="9"/>
        <v>13.731634969683173</v>
      </c>
      <c r="S5" s="9">
        <f t="shared" si="10"/>
        <v>3.0594114598725575E-2</v>
      </c>
    </row>
    <row r="6" spans="1:19" x14ac:dyDescent="0.25">
      <c r="A6">
        <f t="shared" si="11"/>
        <v>1</v>
      </c>
      <c r="B6">
        <f t="shared" si="0"/>
        <v>1</v>
      </c>
      <c r="C6" s="3">
        <f t="shared" si="1"/>
        <v>2.5399999999999999E-2</v>
      </c>
      <c r="D6" s="3">
        <f t="shared" si="2"/>
        <v>2.6199999999999998E-2</v>
      </c>
      <c r="E6" s="3">
        <f>IF(C6&gt;'Weir dims'!$D$7, C6-'Weir dims'!$D$7, 0)</f>
        <v>0</v>
      </c>
      <c r="F6" s="3">
        <f t="shared" si="3"/>
        <v>0</v>
      </c>
      <c r="G6" s="11">
        <f>(8/15) * 'Weir dims'!$B$21 * ((2*9.81)^0.5)*(TAN(RADIANS('Weir dims'!$B$2)/2)) * ((D6^2.5) - (F6^2.5))</f>
        <v>1.519777538163362E-4</v>
      </c>
      <c r="H6" s="11">
        <f>(2/3) * 'Weir dims'!$B$22 * ((2*9.81)^0.5) * ('Weir dims'!$D$4  + 'Weir dims'!$D$5) * (F6 ^1.5)</f>
        <v>0</v>
      </c>
      <c r="I6" s="3">
        <f t="shared" si="4"/>
        <v>1.519777538163362E-4</v>
      </c>
      <c r="J6" s="3">
        <f t="shared" si="5"/>
        <v>2.4089040072330428</v>
      </c>
      <c r="K6" s="9">
        <f t="shared" si="6"/>
        <v>5.3670437218385656E-3</v>
      </c>
      <c r="L6" s="9"/>
      <c r="M6" s="11">
        <f>(8/15) * 'Weir dims'!$B$21 * ((2*9.81)^0.5)*(TAN(RADIANS('Weir dims'!$B$2)/2)) * (D6^2.5)</f>
        <v>1.519777538163362E-4</v>
      </c>
      <c r="N6" s="3">
        <f t="shared" si="7"/>
        <v>2.4089040072330428</v>
      </c>
      <c r="O6" s="9">
        <f t="shared" si="8"/>
        <v>5.3670437218385656E-3</v>
      </c>
      <c r="Q6" s="11">
        <f>(2/3)*'Weir dims'!$B$22*((2*9.81)^0.5)*('Weir dims'!$D$4  + 'Weir dims'!$D$5)*(D6^1.5)</f>
        <v>1.313693187355908E-3</v>
      </c>
      <c r="R6" s="3">
        <f t="shared" si="9"/>
        <v>20.822526348959862</v>
      </c>
      <c r="S6" s="9">
        <f t="shared" si="10"/>
        <v>4.639263705753454E-2</v>
      </c>
    </row>
    <row r="7" spans="1:19" x14ac:dyDescent="0.25">
      <c r="A7">
        <f t="shared" si="11"/>
        <v>1.25</v>
      </c>
      <c r="B7">
        <f t="shared" si="0"/>
        <v>1.25</v>
      </c>
      <c r="C7" s="3">
        <f t="shared" si="1"/>
        <v>3.175E-2</v>
      </c>
      <c r="D7" s="3">
        <f t="shared" si="2"/>
        <v>3.2550000000000003E-2</v>
      </c>
      <c r="E7" s="3">
        <f>IF(C7&gt;'Weir dims'!$D$7, C7-'Weir dims'!$D$7, 0)</f>
        <v>0</v>
      </c>
      <c r="F7" s="3">
        <f t="shared" si="3"/>
        <v>0</v>
      </c>
      <c r="G7" s="11">
        <f>(8/15) * 'Weir dims'!$B$21 * ((2*9.81)^0.5)*(TAN(RADIANS('Weir dims'!$B$2)/2)) * ((D7^2.5) - (F7^2.5))</f>
        <v>2.6145940916610732E-4</v>
      </c>
      <c r="H7" s="11">
        <f>(2/3) * 'Weir dims'!$B$22 * ((2*9.81)^0.5) * ('Weir dims'!$D$4  + 'Weir dims'!$D$5) * (F7 ^1.5)</f>
        <v>0</v>
      </c>
      <c r="I7" s="3">
        <f t="shared" si="4"/>
        <v>2.6145940916610732E-4</v>
      </c>
      <c r="J7" s="3">
        <f t="shared" si="5"/>
        <v>4.1442290246647842</v>
      </c>
      <c r="K7" s="9">
        <f t="shared" si="6"/>
        <v>9.2333518902800032E-3</v>
      </c>
      <c r="L7" s="9"/>
      <c r="M7" s="11">
        <f>(8/15) * 'Weir dims'!$B$21 * ((2*9.81)^0.5)*(TAN(RADIANS('Weir dims'!$B$2)/2)) * (D7^2.5)</f>
        <v>2.6145940916610732E-4</v>
      </c>
      <c r="N7" s="3">
        <f t="shared" si="7"/>
        <v>4.1442290246647842</v>
      </c>
      <c r="O7" s="9">
        <f t="shared" si="8"/>
        <v>9.2333518902800032E-3</v>
      </c>
      <c r="Q7" s="11">
        <f>(2/3)*'Weir dims'!$B$22*((2*9.81)^0.5)*('Weir dims'!$D$4  + 'Weir dims'!$D$5)*(D7^1.5)</f>
        <v>1.8191499553193698E-3</v>
      </c>
      <c r="R7" s="3">
        <f t="shared" si="9"/>
        <v>28.834204395614641</v>
      </c>
      <c r="S7" s="9">
        <f t="shared" si="10"/>
        <v>6.4242674349423434E-2</v>
      </c>
    </row>
    <row r="8" spans="1:19" x14ac:dyDescent="0.25">
      <c r="A8">
        <f t="shared" si="11"/>
        <v>1.5</v>
      </c>
      <c r="B8">
        <f t="shared" si="0"/>
        <v>1.5</v>
      </c>
      <c r="C8" s="3">
        <f t="shared" si="1"/>
        <v>3.8099999999999995E-2</v>
      </c>
      <c r="D8" s="3">
        <f t="shared" si="2"/>
        <v>3.8899999999999997E-2</v>
      </c>
      <c r="E8" s="3">
        <f>IF(C8&gt;'Weir dims'!$D$7, C8-'Weir dims'!$D$7, 0)</f>
        <v>0</v>
      </c>
      <c r="F8" s="3">
        <f t="shared" si="3"/>
        <v>0</v>
      </c>
      <c r="G8" s="11">
        <f>(8/15) * 'Weir dims'!$B$21 * ((2*9.81)^0.5)*(TAN(RADIANS('Weir dims'!$B$2)/2)) * ((D8^2.5) - (F8^2.5))</f>
        <v>4.0822612683263682E-4</v>
      </c>
      <c r="H8" s="11">
        <f>(2/3) * 'Weir dims'!$B$22 * ((2*9.81)^0.5) * ('Weir dims'!$D$4  + 'Weir dims'!$D$5) * (F8 ^1.5)</f>
        <v>0</v>
      </c>
      <c r="I8" s="3">
        <f t="shared" si="4"/>
        <v>4.0822612683263682E-4</v>
      </c>
      <c r="J8" s="3">
        <f t="shared" si="5"/>
        <v>6.4705361678970892</v>
      </c>
      <c r="K8" s="9">
        <f t="shared" si="6"/>
        <v>1.4416369607326495E-2</v>
      </c>
      <c r="L8" s="9"/>
      <c r="M8" s="11">
        <f>(8/15) * 'Weir dims'!$B$21 * ((2*9.81)^0.5)*(TAN(RADIANS('Weir dims'!$B$2)/2)) * (D8^2.5)</f>
        <v>4.0822612683263682E-4</v>
      </c>
      <c r="N8" s="3">
        <f t="shared" si="7"/>
        <v>6.4705361678970892</v>
      </c>
      <c r="O8" s="9">
        <f t="shared" si="8"/>
        <v>1.4416369607326495E-2</v>
      </c>
      <c r="Q8" s="11">
        <f>(2/3)*'Weir dims'!$B$22*((2*9.81)^0.5)*('Weir dims'!$D$4  + 'Weir dims'!$D$5)*(D8^1.5)</f>
        <v>2.3766564747413378E-3</v>
      </c>
      <c r="R8" s="3">
        <f t="shared" si="9"/>
        <v>37.670890390573511</v>
      </c>
      <c r="S8" s="9">
        <f t="shared" si="10"/>
        <v>8.393083126588731E-2</v>
      </c>
    </row>
    <row r="9" spans="1:19" x14ac:dyDescent="0.25">
      <c r="A9">
        <f t="shared" si="11"/>
        <v>1.75</v>
      </c>
      <c r="B9">
        <f t="shared" si="0"/>
        <v>1.75</v>
      </c>
      <c r="C9" s="3">
        <f t="shared" si="1"/>
        <v>4.4449999999999996E-2</v>
      </c>
      <c r="D9" s="3">
        <f t="shared" si="2"/>
        <v>4.5249999999999999E-2</v>
      </c>
      <c r="E9" s="3">
        <f>IF(C9&gt;'Weir dims'!$D$7, C9-'Weir dims'!$D$7, 0)</f>
        <v>0</v>
      </c>
      <c r="F9" s="3">
        <f t="shared" si="3"/>
        <v>0</v>
      </c>
      <c r="G9" s="11">
        <f>(8/15) * 'Weir dims'!$B$21 * ((2*9.81)^0.5)*(TAN(RADIANS('Weir dims'!$B$2)/2)) * ((D9^2.5) - (F9^2.5))</f>
        <v>5.9576262177184756E-4</v>
      </c>
      <c r="H9" s="11">
        <f>(2/3) * 'Weir dims'!$B$22 * ((2*9.81)^0.5) * ('Weir dims'!$D$4  + 'Weir dims'!$D$5) * (F9 ^1.5)</f>
        <v>0</v>
      </c>
      <c r="I9" s="3">
        <f t="shared" si="4"/>
        <v>5.9576262177184756E-4</v>
      </c>
      <c r="J9" s="3">
        <f t="shared" si="5"/>
        <v>9.4430594669810386</v>
      </c>
      <c r="K9" s="9">
        <f t="shared" si="6"/>
        <v>2.1039158420190957E-2</v>
      </c>
      <c r="L9" s="9"/>
      <c r="M9" s="11">
        <f>(8/15) * 'Weir dims'!$B$21 * ((2*9.81)^0.5)*(TAN(RADIANS('Weir dims'!$B$2)/2)) * (D9^2.5)</f>
        <v>5.9576262177184756E-4</v>
      </c>
      <c r="N9" s="3">
        <f t="shared" si="7"/>
        <v>9.4430594669810386</v>
      </c>
      <c r="O9" s="9">
        <f t="shared" si="8"/>
        <v>2.1039158420190957E-2</v>
      </c>
      <c r="Q9" s="11">
        <f>(2/3)*'Weir dims'!$B$22*((2*9.81)^0.5)*('Weir dims'!$D$4  + 'Weir dims'!$D$5)*(D9^1.5)</f>
        <v>2.9817407870833886E-3</v>
      </c>
      <c r="R9" s="3">
        <f t="shared" si="9"/>
        <v>47.26170212527056</v>
      </c>
      <c r="S9" s="9">
        <f t="shared" si="10"/>
        <v>0.10529918208164553</v>
      </c>
    </row>
    <row r="10" spans="1:19" x14ac:dyDescent="0.25">
      <c r="A10">
        <f t="shared" si="11"/>
        <v>2</v>
      </c>
      <c r="B10">
        <f t="shared" si="0"/>
        <v>2</v>
      </c>
      <c r="C10" s="3">
        <f t="shared" si="1"/>
        <v>5.0799999999999998E-2</v>
      </c>
      <c r="D10" s="3">
        <f t="shared" si="2"/>
        <v>5.16E-2</v>
      </c>
      <c r="E10" s="3">
        <f>IF(C10&gt;'Weir dims'!$D$7, C10-'Weir dims'!$D$7, 0)</f>
        <v>0</v>
      </c>
      <c r="F10" s="3">
        <f t="shared" si="3"/>
        <v>0</v>
      </c>
      <c r="G10" s="11">
        <f>(8/15) * 'Weir dims'!$B$21 * ((2*9.81)^0.5)*(TAN(RADIANS('Weir dims'!$B$2)/2)) * ((D10^2.5) - (F10^2.5))</f>
        <v>8.2727718484383063E-4</v>
      </c>
      <c r="H10" s="11">
        <f>(2/3) * 'Weir dims'!$B$22 * ((2*9.81)^0.5) * ('Weir dims'!$D$4  + 'Weir dims'!$D$5) * (F10 ^1.5)</f>
        <v>0</v>
      </c>
      <c r="I10" s="3">
        <f t="shared" si="4"/>
        <v>8.2727718484383063E-4</v>
      </c>
      <c r="J10" s="3">
        <f t="shared" si="5"/>
        <v>13.112651527085298</v>
      </c>
      <c r="K10" s="9">
        <f t="shared" si="6"/>
        <v>2.9215018051274168E-2</v>
      </c>
      <c r="L10" s="9"/>
      <c r="M10" s="11">
        <f>(8/15) * 'Weir dims'!$B$21 * ((2*9.81)^0.5)*(TAN(RADIANS('Weir dims'!$B$2)/2)) * (D10^2.5)</f>
        <v>8.2727718484383063E-4</v>
      </c>
      <c r="N10" s="3">
        <f t="shared" si="7"/>
        <v>13.112651527085298</v>
      </c>
      <c r="O10" s="9">
        <f t="shared" si="8"/>
        <v>2.9215018051274168E-2</v>
      </c>
      <c r="Q10" s="11">
        <f>(2/3)*'Weir dims'!$B$22*((2*9.81)^0.5)*('Weir dims'!$D$4  + 'Weir dims'!$D$5)*(D10^1.5)</f>
        <v>3.6309190215557908E-3</v>
      </c>
      <c r="R10" s="3">
        <f t="shared" si="9"/>
        <v>57.551418950003274</v>
      </c>
      <c r="S10" s="9">
        <f t="shared" si="10"/>
        <v>0.12822469506093287</v>
      </c>
    </row>
    <row r="11" spans="1:19" x14ac:dyDescent="0.25">
      <c r="A11">
        <f t="shared" si="11"/>
        <v>2.25</v>
      </c>
      <c r="B11">
        <f t="shared" si="0"/>
        <v>2.25</v>
      </c>
      <c r="C11" s="3">
        <f t="shared" si="1"/>
        <v>5.7149999999999999E-2</v>
      </c>
      <c r="D11" s="3">
        <f t="shared" si="2"/>
        <v>5.7950000000000002E-2</v>
      </c>
      <c r="E11" s="3">
        <f>IF(C11&gt;'Weir dims'!$D$7, C11-'Weir dims'!$D$7, 0)</f>
        <v>6.3500000000000015E-3</v>
      </c>
      <c r="F11" s="3">
        <f t="shared" si="3"/>
        <v>7.1500000000000018E-3</v>
      </c>
      <c r="G11" s="11">
        <f>(8/15) * 'Weir dims'!$B$21 * ((2*9.81)^0.5)*(TAN(RADIANS('Weir dims'!$B$2)/2)) * ((D11^2.5) - (F11^2.5))</f>
        <v>1.0998459911506604E-3</v>
      </c>
      <c r="H11" s="11">
        <f>(2/3) * 'Weir dims'!$B$22 * ((2*9.81)^0.5) * ('Weir dims'!$D$4  + 'Weir dims'!$D$5) * (F11 ^1.5)</f>
        <v>1.872841712108534E-4</v>
      </c>
      <c r="I11" s="3">
        <f t="shared" si="4"/>
        <v>1.4055461372987732E-3</v>
      </c>
      <c r="J11" s="3">
        <f t="shared" si="5"/>
        <v>22.27842981928579</v>
      </c>
      <c r="K11" s="9">
        <f t="shared" si="6"/>
        <v>4.9636393370178611E-2</v>
      </c>
      <c r="L11" s="9"/>
      <c r="M11" s="11">
        <f>(8/15) * 'Weir dims'!$B$21 * ((2*9.81)^0.5)*(TAN(RADIANS('Weir dims'!$B$2)/2)) * (D11^2.5)</f>
        <v>1.1057587735661509E-3</v>
      </c>
      <c r="N11" s="3">
        <f t="shared" si="7"/>
        <v>17.526688438201383</v>
      </c>
      <c r="O11" s="9">
        <f t="shared" si="8"/>
        <v>3.9049502539089384E-2</v>
      </c>
      <c r="Q11" s="11">
        <f>(2/3)*'Weir dims'!$B$22*((2*9.81)^0.5)*('Weir dims'!$D$4  + 'Weir dims'!$D$5)*(D11^1.5)</f>
        <v>4.3213771499400365E-3</v>
      </c>
      <c r="R11" s="3">
        <f t="shared" si="9"/>
        <v>68.495437469328522</v>
      </c>
      <c r="S11" s="9">
        <f t="shared" si="10"/>
        <v>0.15260799373512829</v>
      </c>
    </row>
    <row r="12" spans="1:19" x14ac:dyDescent="0.25">
      <c r="A12">
        <f t="shared" si="11"/>
        <v>2.5</v>
      </c>
      <c r="B12">
        <f t="shared" si="0"/>
        <v>2.5</v>
      </c>
      <c r="C12" s="3">
        <f t="shared" si="1"/>
        <v>6.3500000000000001E-2</v>
      </c>
      <c r="D12" s="3">
        <f t="shared" si="2"/>
        <v>6.4299999999999996E-2</v>
      </c>
      <c r="E12" s="3">
        <f>IF(C12&gt;'Weir dims'!$D$7, C12-'Weir dims'!$D$7, 0)</f>
        <v>1.2700000000000003E-2</v>
      </c>
      <c r="F12" s="3">
        <f t="shared" si="3"/>
        <v>1.3500000000000003E-2</v>
      </c>
      <c r="G12" s="11">
        <f>(8/15) * 'Weir dims'!$B$21 * ((2*9.81)^0.5)*(TAN(RADIANS('Weir dims'!$B$2)/2)) * ((D12^2.5) - (F12^2.5))</f>
        <v>1.4050525760742265E-3</v>
      </c>
      <c r="H12" s="11">
        <f>(2/3) * 'Weir dims'!$B$22 * ((2*9.81)^0.5) * ('Weir dims'!$D$4  + 'Weir dims'!$D$5) * (F12 ^1.5)</f>
        <v>4.858952611480483E-4</v>
      </c>
      <c r="I12" s="3">
        <f t="shared" si="4"/>
        <v>2.0649150382467244E-3</v>
      </c>
      <c r="J12" s="3">
        <f t="shared" si="5"/>
        <v>32.729672503513655</v>
      </c>
      <c r="K12" s="9">
        <f t="shared" si="6"/>
        <v>7.2921786339500819E-2</v>
      </c>
      <c r="L12" s="9"/>
      <c r="M12" s="11">
        <f>(8/15) * 'Weir dims'!$B$21 * ((2*9.81)^0.5)*(TAN(RADIANS('Weir dims'!$B$2)/2)) * (D12^2.5)</f>
        <v>1.4340167545170682E-3</v>
      </c>
      <c r="N12" s="3">
        <f t="shared" si="7"/>
        <v>22.729699707038119</v>
      </c>
      <c r="O12" s="9">
        <f t="shared" si="8"/>
        <v>5.064182372798598E-2</v>
      </c>
      <c r="Q12" s="11">
        <f>(2/3)*'Weir dims'!$B$22*((2*9.81)^0.5)*('Weir dims'!$D$4  + 'Weir dims'!$D$5)*(D12^1.5)</f>
        <v>5.0507802098307842E-3</v>
      </c>
      <c r="R12" s="3">
        <f t="shared" si="9"/>
        <v>80.056747659386076</v>
      </c>
      <c r="S12" s="9">
        <f t="shared" si="10"/>
        <v>0.17836661968513018</v>
      </c>
    </row>
    <row r="13" spans="1:19" x14ac:dyDescent="0.25">
      <c r="A13">
        <f t="shared" si="11"/>
        <v>2.75</v>
      </c>
      <c r="B13">
        <f t="shared" si="0"/>
        <v>2.75</v>
      </c>
      <c r="C13" s="3">
        <f t="shared" si="1"/>
        <v>6.9849999999999995E-2</v>
      </c>
      <c r="D13" s="3">
        <f t="shared" si="2"/>
        <v>7.0649999999999991E-2</v>
      </c>
      <c r="E13" s="3">
        <f>IF(C13&gt;'Weir dims'!$D$7, C13-'Weir dims'!$D$7, 0)</f>
        <v>1.9049999999999997E-2</v>
      </c>
      <c r="F13" s="3">
        <f t="shared" si="3"/>
        <v>1.9849999999999996E-2</v>
      </c>
      <c r="G13" s="11">
        <f>(8/15) * 'Weir dims'!$B$21 * ((2*9.81)^0.5)*(TAN(RADIANS('Weir dims'!$B$2)/2)) * ((D13^2.5) - (F13^2.5))</f>
        <v>1.7387773355901103E-3</v>
      </c>
      <c r="H13" s="11">
        <f>(2/3) * 'Weir dims'!$B$22 * ((2*9.81)^0.5) * ('Weir dims'!$D$4  + 'Weir dims'!$D$5) * (F13 ^1.5)</f>
        <v>8.6632885023733147E-4</v>
      </c>
      <c r="I13" s="3">
        <f t="shared" si="4"/>
        <v>2.8447759549235668E-3</v>
      </c>
      <c r="J13" s="3">
        <f t="shared" si="5"/>
        <v>45.090758518362669</v>
      </c>
      <c r="K13" s="9">
        <f t="shared" si="6"/>
        <v>0.10046231468429997</v>
      </c>
      <c r="L13" s="9"/>
      <c r="M13" s="11">
        <f>(8/15) * 'Weir dims'!$B$21 * ((2*9.81)^0.5)*(TAN(RADIANS('Weir dims'!$B$2)/2)) * (D13^2.5)</f>
        <v>1.8147099006516358E-3</v>
      </c>
      <c r="N13" s="3">
        <f t="shared" si="7"/>
        <v>28.763827875282828</v>
      </c>
      <c r="O13" s="9">
        <f t="shared" si="8"/>
        <v>6.4085875298702619E-2</v>
      </c>
      <c r="Q13" s="11">
        <f>(2/3)*'Weir dims'!$B$22*((2*9.81)^0.5)*('Weir dims'!$D$4  + 'Weir dims'!$D$5)*(D13^1.5)</f>
        <v>5.8171499656580854E-3</v>
      </c>
      <c r="R13" s="3">
        <f t="shared" si="9"/>
        <v>92.203993749531634</v>
      </c>
      <c r="S13" s="9">
        <f t="shared" si="10"/>
        <v>0.20543071218113171</v>
      </c>
    </row>
    <row r="14" spans="1:19" x14ac:dyDescent="0.25">
      <c r="A14">
        <f t="shared" si="11"/>
        <v>3</v>
      </c>
      <c r="B14">
        <f t="shared" si="0"/>
        <v>3</v>
      </c>
      <c r="C14" s="3">
        <f t="shared" si="1"/>
        <v>7.619999999999999E-2</v>
      </c>
      <c r="D14" s="3">
        <f t="shared" si="2"/>
        <v>7.6999999999999985E-2</v>
      </c>
      <c r="E14" s="3">
        <f>IF(C14&gt;'Weir dims'!$D$7, C14-'Weir dims'!$D$7, 0)</f>
        <v>2.5399999999999992E-2</v>
      </c>
      <c r="F14" s="3">
        <f t="shared" si="3"/>
        <v>2.6199999999999991E-2</v>
      </c>
      <c r="G14" s="11">
        <f>(8/15) * 'Weir dims'!$B$21 * ((2*9.81)^0.5)*(TAN(RADIANS('Weir dims'!$B$2)/2)) * ((D14^2.5) - (F14^2.5))</f>
        <v>2.0983905702365965E-3</v>
      </c>
      <c r="H14" s="11">
        <f>(2/3) * 'Weir dims'!$B$22 * ((2*9.81)^0.5) * ('Weir dims'!$D$4  + 'Weir dims'!$D$5) * (F14 ^1.5)</f>
        <v>1.313693187355908E-3</v>
      </c>
      <c r="I14" s="3">
        <f t="shared" si="4"/>
        <v>3.7259954632910151E-3</v>
      </c>
      <c r="J14" s="3">
        <f t="shared" si="5"/>
        <v>59.058415965936419</v>
      </c>
      <c r="K14" s="9">
        <f t="shared" si="6"/>
        <v>0.13158228791183427</v>
      </c>
      <c r="L14" s="9"/>
      <c r="M14" s="11">
        <f>(8/15) * 'Weir dims'!$B$21 * ((2*9.81)^0.5)*(TAN(RADIANS('Weir dims'!$B$2)/2)) * (D14^2.5)</f>
        <v>2.2503683240529325E-3</v>
      </c>
      <c r="N14" s="3">
        <f t="shared" si="7"/>
        <v>35.669176161877957</v>
      </c>
      <c r="O14" s="9">
        <f t="shared" si="8"/>
        <v>7.9471007316166895E-2</v>
      </c>
      <c r="Q14" s="11">
        <f>(2/3)*'Weir dims'!$B$22*((2*9.81)^0.5)*('Weir dims'!$D$4  + 'Weir dims'!$D$5)*(D14^1.5)</f>
        <v>6.6187823253762868E-3</v>
      </c>
      <c r="R14" s="3">
        <f t="shared" si="9"/>
        <v>104.91016524609499</v>
      </c>
      <c r="S14" s="9">
        <f t="shared" si="10"/>
        <v>0.2337400917805145</v>
      </c>
    </row>
    <row r="15" spans="1:19" x14ac:dyDescent="0.25">
      <c r="A15">
        <f t="shared" si="11"/>
        <v>3.25</v>
      </c>
      <c r="B15">
        <f t="shared" si="0"/>
        <v>3.25</v>
      </c>
      <c r="C15" s="3">
        <f t="shared" si="1"/>
        <v>8.2549999999999998E-2</v>
      </c>
      <c r="D15" s="3">
        <f t="shared" si="2"/>
        <v>8.3349999999999994E-2</v>
      </c>
      <c r="E15" s="3">
        <f>IF(C15&gt;'Weir dims'!$D$7, C15-'Weir dims'!$D$7, 0)</f>
        <v>3.175E-2</v>
      </c>
      <c r="F15" s="3">
        <f t="shared" si="3"/>
        <v>3.2550000000000003E-2</v>
      </c>
      <c r="G15" s="11">
        <f>(8/15) * 'Weir dims'!$B$21 * ((2*9.81)^0.5)*(TAN(RADIANS('Weir dims'!$B$2)/2)) * ((D15^2.5) - (F15^2.5))</f>
        <v>2.4819511356435229E-3</v>
      </c>
      <c r="H15" s="11">
        <f>(2/3) * 'Weir dims'!$B$22 * ((2*9.81)^0.5) * ('Weir dims'!$D$4  + 'Weir dims'!$D$5) * (F15 ^1.5)</f>
        <v>1.8191499553193698E-3</v>
      </c>
      <c r="I15" s="3">
        <f t="shared" si="4"/>
        <v>4.6968023913314793E-3</v>
      </c>
      <c r="J15" s="3">
        <f t="shared" si="5"/>
        <v>74.446067385185771</v>
      </c>
      <c r="K15" s="9">
        <f t="shared" si="6"/>
        <v>0.16586601100563414</v>
      </c>
      <c r="L15" s="9"/>
      <c r="M15" s="11">
        <f>(8/15) * 'Weir dims'!$B$21 * ((2*9.81)^0.5)*(TAN(RADIANS('Weir dims'!$B$2)/2)) * (D15^2.5)</f>
        <v>2.7434105448096305E-3</v>
      </c>
      <c r="N15" s="3">
        <f t="shared" si="7"/>
        <v>43.484079011088397</v>
      </c>
      <c r="O15" s="9">
        <f t="shared" si="8"/>
        <v>9.6882629011217511E-2</v>
      </c>
      <c r="Q15" s="11">
        <f>(2/3)*'Weir dims'!$B$22*((2*9.81)^0.5)*('Weir dims'!$D$4  + 'Weir dims'!$D$5)*(D15^1.5)</f>
        <v>7.4541892909402553E-3</v>
      </c>
      <c r="R15" s="3">
        <f t="shared" si="9"/>
        <v>118.15167682580571</v>
      </c>
      <c r="S15" s="9">
        <f t="shared" si="10"/>
        <v>0.26324221032826445</v>
      </c>
    </row>
    <row r="16" spans="1:19" x14ac:dyDescent="0.25">
      <c r="A16">
        <f t="shared" si="11"/>
        <v>3.5</v>
      </c>
      <c r="B16">
        <f t="shared" si="0"/>
        <v>3.5</v>
      </c>
      <c r="C16" s="3">
        <f t="shared" si="1"/>
        <v>8.8899999999999993E-2</v>
      </c>
      <c r="D16" s="3">
        <f t="shared" si="2"/>
        <v>8.9699999999999988E-2</v>
      </c>
      <c r="E16" s="3">
        <f>IF(C16&gt;'Weir dims'!$D$7, C16-'Weir dims'!$D$7, 0)</f>
        <v>3.8099999999999995E-2</v>
      </c>
      <c r="F16" s="3">
        <f t="shared" si="3"/>
        <v>3.8899999999999997E-2</v>
      </c>
      <c r="G16" s="11">
        <f>(8/15) * 'Weir dims'!$B$21 * ((2*9.81)^0.5)*(TAN(RADIANS('Weir dims'!$B$2)/2)) * ((D16^2.5) - (F16^2.5))</f>
        <v>2.8879309589262183E-3</v>
      </c>
      <c r="H16" s="11">
        <f>(2/3) * 'Weir dims'!$B$22 * ((2*9.81)^0.5) * ('Weir dims'!$D$4  + 'Weir dims'!$D$5) * (F16 ^1.5)</f>
        <v>2.3766564747413378E-3</v>
      </c>
      <c r="I16" s="3">
        <f t="shared" si="4"/>
        <v>5.7489294775649718E-3</v>
      </c>
      <c r="J16" s="3">
        <f t="shared" si="5"/>
        <v>91.122673602232339</v>
      </c>
      <c r="K16" s="9">
        <f t="shared" si="6"/>
        <v>0.2030215283820121</v>
      </c>
      <c r="L16" s="9"/>
      <c r="M16" s="11">
        <f>(8/15) * 'Weir dims'!$B$21 * ((2*9.81)^0.5)*(TAN(RADIANS('Weir dims'!$B$2)/2)) * (D16^2.5)</f>
        <v>3.296157085758855E-3</v>
      </c>
      <c r="N16" s="3">
        <f t="shared" si="7"/>
        <v>52.245317574239635</v>
      </c>
      <c r="O16" s="9">
        <f t="shared" si="8"/>
        <v>0.11640268887441726</v>
      </c>
      <c r="Q16" s="11">
        <f>(2/3)*'Weir dims'!$B$22*((2*9.81)^0.5)*('Weir dims'!$D$4  + 'Weir dims'!$D$5)*(D16^1.5)</f>
        <v>8.3220567938579477E-3</v>
      </c>
      <c r="R16" s="3">
        <f t="shared" si="9"/>
        <v>131.90770001359573</v>
      </c>
      <c r="S16" s="9">
        <f t="shared" si="10"/>
        <v>0.293890661933564</v>
      </c>
    </row>
    <row r="17" spans="1:19" x14ac:dyDescent="0.25">
      <c r="A17">
        <f t="shared" si="11"/>
        <v>3.75</v>
      </c>
      <c r="B17">
        <f t="shared" si="0"/>
        <v>3.75</v>
      </c>
      <c r="C17" s="3">
        <f t="shared" si="1"/>
        <v>9.5250000000000001E-2</v>
      </c>
      <c r="D17" s="3">
        <f t="shared" si="2"/>
        <v>9.6049999999999996E-2</v>
      </c>
      <c r="E17" s="3">
        <f>IF(C17&gt;'Weir dims'!$D$7, C17-'Weir dims'!$D$7, 0)</f>
        <v>4.4450000000000003E-2</v>
      </c>
      <c r="F17" s="3">
        <f t="shared" si="3"/>
        <v>4.5250000000000005E-2</v>
      </c>
      <c r="G17" s="11">
        <f>(8/15) * 'Weir dims'!$B$21 * ((2*9.81)^0.5)*(TAN(RADIANS('Weir dims'!$B$2)/2)) * ((D17^2.5) - (F17^2.5))</f>
        <v>3.3150788882698725E-3</v>
      </c>
      <c r="H17" s="11">
        <f>(2/3) * 'Weir dims'!$B$22 * ((2*9.81)^0.5) * ('Weir dims'!$D$4  + 'Weir dims'!$D$5) * (F17 ^1.5)</f>
        <v>2.9817407870833886E-3</v>
      </c>
      <c r="I17" s="3">
        <f t="shared" si="4"/>
        <v>6.8761270854857618E-3</v>
      </c>
      <c r="J17" s="3">
        <f t="shared" si="5"/>
        <v>108.98917555057224</v>
      </c>
      <c r="K17" s="9">
        <f t="shared" si="6"/>
        <v>0.24282813621077207</v>
      </c>
      <c r="L17" s="9"/>
      <c r="M17" s="11">
        <f>(8/15) * 'Weir dims'!$B$21 * ((2*9.81)^0.5)*(TAN(RADIANS('Weir dims'!$B$2)/2)) * (D17^2.5)</f>
        <v>3.9108415100417198E-3</v>
      </c>
      <c r="N17" s="3">
        <f t="shared" si="7"/>
        <v>61.98829465908431</v>
      </c>
      <c r="O17" s="9">
        <f t="shared" si="8"/>
        <v>0.13811006444364801</v>
      </c>
      <c r="Q17" s="11">
        <f>(2/3)*'Weir dims'!$B$22*((2*9.81)^0.5)*('Weir dims'!$D$4  + 'Weir dims'!$D$5)*(D17^1.5)</f>
        <v>9.2212132265595635E-3</v>
      </c>
      <c r="R17" s="3">
        <f t="shared" si="9"/>
        <v>146.15966439307894</v>
      </c>
      <c r="S17" s="9">
        <f t="shared" si="10"/>
        <v>0.32564407166558251</v>
      </c>
    </row>
    <row r="18" spans="1:19" x14ac:dyDescent="0.25">
      <c r="A18">
        <f t="shared" si="11"/>
        <v>4</v>
      </c>
      <c r="B18">
        <f t="shared" si="0"/>
        <v>4</v>
      </c>
      <c r="C18" s="3">
        <f t="shared" si="1"/>
        <v>0.1016</v>
      </c>
      <c r="D18" s="3">
        <f t="shared" si="2"/>
        <v>0.10239999999999999</v>
      </c>
      <c r="E18" s="3">
        <f>IF(C18&gt;'Weir dims'!$D$7, C18-'Weir dims'!$D$7, 0)</f>
        <v>5.0799999999999998E-2</v>
      </c>
      <c r="F18" s="3">
        <f t="shared" si="3"/>
        <v>5.16E-2</v>
      </c>
      <c r="G18" s="11">
        <f>(8/15) * 'Weir dims'!$B$21 * ((2*9.81)^0.5)*(TAN(RADIANS('Weir dims'!$B$2)/2)) * ((D18^2.5) - (F18^2.5))</f>
        <v>3.7623423438166615E-3</v>
      </c>
      <c r="H18" s="11">
        <f>(2/3) * 'Weir dims'!$B$22 * ((2*9.81)^0.5) * ('Weir dims'!$D$4  + 'Weir dims'!$D$5) * (F18 ^1.5)</f>
        <v>3.6309190215557908E-3</v>
      </c>
      <c r="I18" s="3">
        <f t="shared" si="4"/>
        <v>8.0734414109867193E-3</v>
      </c>
      <c r="J18" s="3">
        <f t="shared" si="5"/>
        <v>127.9670535898959</v>
      </c>
      <c r="K18" s="9">
        <f t="shared" si="6"/>
        <v>0.28511089255097366</v>
      </c>
      <c r="L18" s="9"/>
      <c r="M18" s="11">
        <f>(8/15) * 'Weir dims'!$B$21 * ((2*9.81)^0.5)*(TAN(RADIANS('Weir dims'!$B$2)/2)) * (D18^2.5)</f>
        <v>4.5896195286604918E-3</v>
      </c>
      <c r="N18" s="3">
        <f t="shared" si="7"/>
        <v>72.747179087975681</v>
      </c>
      <c r="O18" s="9">
        <f t="shared" si="8"/>
        <v>0.16208088393445635</v>
      </c>
      <c r="Q18" s="11">
        <f>(2/3)*'Weir dims'!$B$22*((2*9.81)^0.5)*('Weir dims'!$D$4  + 'Weir dims'!$D$5)*(D18^1.5)</f>
        <v>1.0150605413840351E-2</v>
      </c>
      <c r="R18" s="3">
        <f t="shared" si="9"/>
        <v>160.89087674496935</v>
      </c>
      <c r="S18" s="9">
        <f t="shared" si="10"/>
        <v>0.35846524699298754</v>
      </c>
    </row>
    <row r="19" spans="1:19" x14ac:dyDescent="0.25">
      <c r="A19">
        <f t="shared" si="11"/>
        <v>4.25</v>
      </c>
      <c r="B19">
        <f t="shared" si="0"/>
        <v>4.25</v>
      </c>
      <c r="C19" s="3">
        <f t="shared" si="1"/>
        <v>0.10794999999999999</v>
      </c>
      <c r="D19" s="3">
        <f t="shared" si="2"/>
        <v>0.10874999999999999</v>
      </c>
      <c r="E19" s="3">
        <f>IF(C19&gt;'Weir dims'!$D$7, C19-'Weir dims'!$D$7, 0)</f>
        <v>5.7149999999999992E-2</v>
      </c>
      <c r="F19" s="3">
        <f t="shared" si="3"/>
        <v>5.7949999999999995E-2</v>
      </c>
      <c r="G19" s="11">
        <f>(8/15) * 'Weir dims'!$B$21 * ((2*9.81)^0.5)*(TAN(RADIANS('Weir dims'!$B$2)/2)) * ((D19^2.5) - (F19^2.5))</f>
        <v>4.2288178466022563E-3</v>
      </c>
      <c r="H19" s="11">
        <f>(2/3) * 'Weir dims'!$B$22 * ((2*9.81)^0.5) * ('Weir dims'!$D$4  + 'Weir dims'!$D$5) * (F19 ^1.5)</f>
        <v>4.3213771499400365E-3</v>
      </c>
      <c r="I19" s="3">
        <f t="shared" si="4"/>
        <v>9.3368129362241849E-3</v>
      </c>
      <c r="J19" s="3">
        <f t="shared" si="5"/>
        <v>147.99196285027688</v>
      </c>
      <c r="K19" s="9">
        <f t="shared" si="6"/>
        <v>0.3297264368830054</v>
      </c>
      <c r="L19" s="9"/>
      <c r="M19" s="11">
        <f>(8/15) * 'Weir dims'!$B$21 * ((2*9.81)^0.5)*(TAN(RADIANS('Weir dims'!$B$2)/2)) * (D19^2.5)</f>
        <v>5.3345766201684068E-3</v>
      </c>
      <c r="N19" s="3">
        <f t="shared" si="7"/>
        <v>84.555026472789393</v>
      </c>
      <c r="O19" s="9">
        <f t="shared" si="8"/>
        <v>0.18838879532685976</v>
      </c>
      <c r="Q19" s="11">
        <f>(2/3)*'Weir dims'!$B$22*((2*9.81)^0.5)*('Weir dims'!$D$4  + 'Weir dims'!$D$5)*(D19^1.5)</f>
        <v>1.1109279904093598E-2</v>
      </c>
      <c r="R19" s="3">
        <f t="shared" si="9"/>
        <v>176.08622450615533</v>
      </c>
      <c r="S19" s="9">
        <f t="shared" si="10"/>
        <v>0.39232051709007337</v>
      </c>
    </row>
    <row r="20" spans="1:19" x14ac:dyDescent="0.25">
      <c r="A20">
        <f t="shared" si="11"/>
        <v>4.5</v>
      </c>
      <c r="B20">
        <f t="shared" si="0"/>
        <v>4.5</v>
      </c>
      <c r="C20" s="3">
        <f t="shared" si="1"/>
        <v>0.1143</v>
      </c>
      <c r="D20" s="3">
        <f t="shared" si="2"/>
        <v>0.11509999999999999</v>
      </c>
      <c r="E20" s="3">
        <f>IF(C20&gt;'Weir dims'!$D$7, C20-'Weir dims'!$D$7, 0)</f>
        <v>6.3500000000000001E-2</v>
      </c>
      <c r="F20" s="3">
        <f t="shared" si="3"/>
        <v>6.4299999999999996E-2</v>
      </c>
      <c r="G20" s="11">
        <f>(8/15) * 'Weir dims'!$B$21 * ((2*9.81)^0.5)*(TAN(RADIANS('Weir dims'!$B$2)/2)) * ((D20^2.5) - (F20^2.5))</f>
        <v>4.7137177277476721E-3</v>
      </c>
      <c r="H20" s="11">
        <f>(2/3) * 'Weir dims'!$B$22 * ((2*9.81)^0.5) * ('Weir dims'!$D$4  + 'Weir dims'!$D$5) * (F20 ^1.5)</f>
        <v>5.0507802098307842E-3</v>
      </c>
      <c r="I20" s="3">
        <f t="shared" si="4"/>
        <v>1.0662831747835675E-2</v>
      </c>
      <c r="J20" s="3">
        <f t="shared" si="5"/>
        <v>169.00985493478248</v>
      </c>
      <c r="K20" s="9">
        <f t="shared" si="6"/>
        <v>0.37655434925299525</v>
      </c>
      <c r="L20" s="9"/>
      <c r="M20" s="11">
        <f>(8/15) * 'Weir dims'!$B$21 * ((2*9.81)^0.5)*(TAN(RADIANS('Weir dims'!$B$2)/2)) * (D20^2.5)</f>
        <v>6.1477344822647405E-3</v>
      </c>
      <c r="N20" s="3">
        <f t="shared" si="7"/>
        <v>97.44388147510854</v>
      </c>
      <c r="O20" s="9">
        <f t="shared" si="8"/>
        <v>0.21710519420127636</v>
      </c>
      <c r="Q20" s="11">
        <f>(2/3)*'Weir dims'!$B$22*((2*9.81)^0.5)*('Weir dims'!$D$4  + 'Weir dims'!$D$5)*(D20^1.5)</f>
        <v>1.2096368155094839E-2</v>
      </c>
      <c r="R20" s="3">
        <f t="shared" si="9"/>
        <v>191.73194095886129</v>
      </c>
      <c r="S20" s="9">
        <f t="shared" si="10"/>
        <v>0.42717920967766809</v>
      </c>
    </row>
    <row r="21" spans="1:19" x14ac:dyDescent="0.25">
      <c r="A21">
        <f t="shared" si="11"/>
        <v>4.75</v>
      </c>
      <c r="B21">
        <f t="shared" si="0"/>
        <v>4.75</v>
      </c>
      <c r="C21" s="3">
        <f t="shared" si="1"/>
        <v>0.12064999999999999</v>
      </c>
      <c r="D21" s="3">
        <f t="shared" si="2"/>
        <v>0.12144999999999999</v>
      </c>
      <c r="E21" s="3">
        <f>IF(C21&gt;'Weir dims'!$D$7, C21-'Weir dims'!$D$7, 0)</f>
        <v>6.9849999999999995E-2</v>
      </c>
      <c r="F21" s="3">
        <f t="shared" si="3"/>
        <v>7.0649999999999991E-2</v>
      </c>
      <c r="G21" s="11">
        <f>(8/15) * 'Weir dims'!$B$21 * ((2*9.81)^0.5)*(TAN(RADIANS('Weir dims'!$B$2)/2)) * ((D21^2.5) - (F21^2.5))</f>
        <v>5.2163466510851877E-3</v>
      </c>
      <c r="H21" s="11">
        <f>(2/3) * 'Weir dims'!$B$22 * ((2*9.81)^0.5) * ('Weir dims'!$D$4  + 'Weir dims'!$D$5) * (F21 ^1.5)</f>
        <v>5.8171499656580854E-3</v>
      </c>
      <c r="I21" s="3">
        <f t="shared" si="4"/>
        <v>1.2048578305483655E-2</v>
      </c>
      <c r="J21" s="3">
        <f t="shared" si="5"/>
        <v>190.97445404158148</v>
      </c>
      <c r="K21" s="9">
        <f t="shared" si="6"/>
        <v>0.42549152706700599</v>
      </c>
      <c r="L21" s="9"/>
      <c r="M21" s="11">
        <f>(8/15) * 'Weir dims'!$B$21 * ((2*9.81)^0.5)*(TAN(RADIANS('Weir dims'!$B$2)/2)) * (D21^2.5)</f>
        <v>7.0310565517368237E-3</v>
      </c>
      <c r="N21" s="3">
        <f t="shared" si="7"/>
        <v>111.4448652993606</v>
      </c>
      <c r="O21" s="9">
        <f t="shared" si="8"/>
        <v>0.24829941867343722</v>
      </c>
      <c r="Q21" s="11">
        <f>(2/3)*'Weir dims'!$B$22*((2*9.81)^0.5)*('Weir dims'!$D$4  + 'Weir dims'!$D$5)*(D21^1.5)</f>
        <v>1.3111074629855717E-2</v>
      </c>
      <c r="R21" s="3">
        <f t="shared" si="9"/>
        <v>207.8154165454971</v>
      </c>
      <c r="S21" s="9">
        <f t="shared" si="10"/>
        <v>0.46301323063218047</v>
      </c>
    </row>
    <row r="22" spans="1:19" x14ac:dyDescent="0.25">
      <c r="A22">
        <f t="shared" si="11"/>
        <v>5</v>
      </c>
      <c r="B22">
        <f t="shared" si="0"/>
        <v>5</v>
      </c>
      <c r="C22" s="3">
        <f t="shared" si="1"/>
        <v>0.127</v>
      </c>
      <c r="D22" s="3">
        <f t="shared" si="2"/>
        <v>0.1278</v>
      </c>
      <c r="E22" s="3">
        <f>IF(C22&gt;'Weir dims'!$D$7, C22-'Weir dims'!$D$7, 0)</f>
        <v>7.6200000000000004E-2</v>
      </c>
      <c r="F22" s="3">
        <f t="shared" si="3"/>
        <v>7.6999999999999999E-2</v>
      </c>
      <c r="G22" s="11">
        <f>(8/15) * 'Weir dims'!$B$21 * ((2*9.81)^0.5)*(TAN(RADIANS('Weir dims'!$B$2)/2)) * ((D22^2.5) - (F22^2.5))</f>
        <v>5.7360844469174378E-3</v>
      </c>
      <c r="H22" s="11">
        <f>(2/3) * 'Weir dims'!$B$22 * ((2*9.81)^0.5) * ('Weir dims'!$D$4  + 'Weir dims'!$D$5) * (F22 ^1.5)</f>
        <v>6.6187823253762894E-3</v>
      </c>
      <c r="I22" s="3">
        <f t="shared" si="4"/>
        <v>1.3491514515344753E-2</v>
      </c>
      <c r="J22" s="3">
        <f t="shared" si="5"/>
        <v>213.84553043817468</v>
      </c>
      <c r="K22" s="9">
        <f t="shared" si="6"/>
        <v>0.47644833838761191</v>
      </c>
      <c r="L22" s="9"/>
      <c r="M22" s="11">
        <f>(8/15) * 'Weir dims'!$B$21 * ((2*9.81)^0.5)*(TAN(RADIANS('Weir dims'!$B$2)/2)) * (D22^2.5)</f>
        <v>7.9864527709703724E-3</v>
      </c>
      <c r="N22" s="3">
        <f t="shared" si="7"/>
        <v>126.5882512437817</v>
      </c>
      <c r="O22" s="9">
        <f t="shared" si="8"/>
        <v>0.28203891772211009</v>
      </c>
      <c r="Q22" s="11">
        <f>(2/3)*'Weir dims'!$B$22*((2*9.81)^0.5)*('Weir dims'!$D$4  + 'Weir dims'!$D$5)*(D22^1.5)</f>
        <v>1.4152667106221921E-2</v>
      </c>
      <c r="R22" s="3">
        <f t="shared" si="9"/>
        <v>224.32504527217614</v>
      </c>
      <c r="S22" s="9">
        <f t="shared" si="10"/>
        <v>0.49979672177228057</v>
      </c>
    </row>
    <row r="23" spans="1:19" x14ac:dyDescent="0.25">
      <c r="A23">
        <f t="shared" si="11"/>
        <v>5.25</v>
      </c>
      <c r="B23">
        <f t="shared" si="0"/>
        <v>5.25</v>
      </c>
      <c r="C23" s="3">
        <f t="shared" si="1"/>
        <v>0.13335</v>
      </c>
      <c r="D23" s="3">
        <f t="shared" si="2"/>
        <v>0.13414999999999999</v>
      </c>
      <c r="E23" s="3">
        <f>IF(C23&gt;'Weir dims'!$D$7, C23-'Weir dims'!$D$7, 0)</f>
        <v>8.2549999999999998E-2</v>
      </c>
      <c r="F23" s="3">
        <f t="shared" si="3"/>
        <v>8.3349999999999994E-2</v>
      </c>
      <c r="G23" s="11">
        <f>(8/15) * 'Weir dims'!$B$21 * ((2*9.81)^0.5)*(TAN(RADIANS('Weir dims'!$B$2)/2)) * ((D23^2.5) - (F23^2.5))</f>
        <v>6.2723731928448429E-3</v>
      </c>
      <c r="H23" s="11">
        <f>(2/3) * 'Weir dims'!$B$22 * ((2*9.81)^0.5) * ('Weir dims'!$D$4  + 'Weir dims'!$D$5) * (F23 ^1.5)</f>
        <v>7.4541892909402553E-3</v>
      </c>
      <c r="I23" s="3">
        <f t="shared" si="4"/>
        <v>1.4989406232293329E-2</v>
      </c>
      <c r="J23" s="3">
        <f t="shared" si="5"/>
        <v>237.58767209213792</v>
      </c>
      <c r="K23" s="9">
        <f t="shared" si="6"/>
        <v>0.52934588512434166</v>
      </c>
      <c r="L23" s="9"/>
      <c r="M23" s="11">
        <f>(8/15) * 'Weir dims'!$B$21 * ((2*9.81)^0.5)*(TAN(RADIANS('Weir dims'!$B$2)/2)) * (D23^2.5)</f>
        <v>9.0157837376544734E-3</v>
      </c>
      <c r="N23" s="3">
        <f t="shared" si="7"/>
        <v>142.90353047478624</v>
      </c>
      <c r="O23" s="9">
        <f t="shared" si="8"/>
        <v>0.31838939773454794</v>
      </c>
      <c r="Q23" s="11">
        <f>(2/3)*'Weir dims'!$B$22*((2*9.81)^0.5)*('Weir dims'!$D$4  + 'Weir dims'!$D$5)*(D23^1.5)</f>
        <v>1.5220468697354179E-2</v>
      </c>
      <c r="R23" s="3">
        <f t="shared" si="9"/>
        <v>241.25009823036655</v>
      </c>
      <c r="S23" s="9">
        <f t="shared" si="10"/>
        <v>0.53750577906484598</v>
      </c>
    </row>
    <row r="24" spans="1:19" x14ac:dyDescent="0.25">
      <c r="A24">
        <f t="shared" si="11"/>
        <v>5.5</v>
      </c>
      <c r="B24">
        <f t="shared" si="0"/>
        <v>5.5</v>
      </c>
      <c r="C24" s="3">
        <f t="shared" si="1"/>
        <v>0.13969999999999999</v>
      </c>
      <c r="D24" s="3">
        <f t="shared" si="2"/>
        <v>0.14049999999999999</v>
      </c>
      <c r="E24" s="3">
        <f>IF(C24&gt;'Weir dims'!$D$7, C24-'Weir dims'!$D$7, 0)</f>
        <v>8.8899999999999993E-2</v>
      </c>
      <c r="F24" s="3">
        <f t="shared" si="3"/>
        <v>8.9699999999999988E-2</v>
      </c>
      <c r="G24" s="11">
        <f>(8/15) * 'Weir dims'!$B$21 * ((2*9.81)^0.5)*(TAN(RADIANS('Weir dims'!$B$2)/2)) * ((D24^2.5) - (F24^2.5))</f>
        <v>6.8247072582419983E-3</v>
      </c>
      <c r="H24" s="11">
        <f>(2/3) * 'Weir dims'!$B$22 * ((2*9.81)^0.5) * ('Weir dims'!$D$4  + 'Weir dims'!$D$5) * (F24 ^1.5)</f>
        <v>8.3220567938579477E-3</v>
      </c>
      <c r="I24" s="3">
        <f t="shared" si="4"/>
        <v>1.6540266344893143E-2</v>
      </c>
      <c r="J24" s="3">
        <f t="shared" si="5"/>
        <v>262.16938254704007</v>
      </c>
      <c r="K24" s="9">
        <f t="shared" si="6"/>
        <v>0.58411399309912859</v>
      </c>
      <c r="L24" s="9"/>
      <c r="M24" s="11">
        <f>(8/15) * 'Weir dims'!$B$21 * ((2*9.81)^0.5)*(TAN(RADIANS('Weir dims'!$B$2)/2)) * (D24^2.5)</f>
        <v>1.0120864344000854E-2</v>
      </c>
      <c r="N24" s="3">
        <f t="shared" si="7"/>
        <v>160.419469709948</v>
      </c>
      <c r="O24" s="9">
        <f t="shared" si="8"/>
        <v>0.35741495102430426</v>
      </c>
      <c r="Q24" s="11">
        <f>(2/3)*'Weir dims'!$B$22*((2*9.81)^0.5)*('Weir dims'!$D$4  + 'Weir dims'!$D$5)*(D24^1.5)</f>
        <v>1.6313851213197041E-2</v>
      </c>
      <c r="R24" s="3">
        <f t="shared" si="9"/>
        <v>258.58061837369888</v>
      </c>
      <c r="S24" s="9">
        <f t="shared" si="10"/>
        <v>0.57611821818744402</v>
      </c>
    </row>
    <row r="25" spans="1:19" x14ac:dyDescent="0.25">
      <c r="A25">
        <f t="shared" si="11"/>
        <v>5.75</v>
      </c>
      <c r="B25">
        <f t="shared" si="0"/>
        <v>5.75</v>
      </c>
      <c r="C25" s="3">
        <f t="shared" si="1"/>
        <v>0.14604999999999999</v>
      </c>
      <c r="D25" s="3">
        <f t="shared" si="2"/>
        <v>0.14684999999999998</v>
      </c>
      <c r="E25" s="3">
        <f>IF(C25&gt;'Weir dims'!$D$7, C25-'Weir dims'!$D$7, 0)</f>
        <v>9.5249999999999987E-2</v>
      </c>
      <c r="F25" s="3">
        <f t="shared" si="3"/>
        <v>9.6049999999999983E-2</v>
      </c>
      <c r="G25" s="11">
        <f>(8/15) * 'Weir dims'!$B$21 * ((2*9.81)^0.5)*(TAN(RADIANS('Weir dims'!$B$2)/2)) * ((D25^2.5) - (F25^2.5))</f>
        <v>7.3926254792845408E-3</v>
      </c>
      <c r="H25" s="11">
        <f>(2/3) * 'Weir dims'!$B$22 * ((2*9.81)^0.5) * ('Weir dims'!$D$4  + 'Weir dims'!$D$5) * (F25 ^1.5)</f>
        <v>9.2212132265595635E-3</v>
      </c>
      <c r="I25" s="3">
        <f t="shared" si="4"/>
        <v>1.8142311866781762E-2</v>
      </c>
      <c r="J25" s="3">
        <f t="shared" si="5"/>
        <v>287.56240080490318</v>
      </c>
      <c r="K25" s="9">
        <f t="shared" si="6"/>
        <v>0.6406896967428527</v>
      </c>
      <c r="L25" s="9"/>
      <c r="M25" s="11">
        <f>(8/15) * 'Weir dims'!$B$21 * ((2*9.81)^0.5)*(TAN(RADIANS('Weir dims'!$B$2)/2)) * (D25^2.5)</f>
        <v>1.1303466989326261E-2</v>
      </c>
      <c r="N25" s="3">
        <f t="shared" si="7"/>
        <v>179.16416213862735</v>
      </c>
      <c r="O25" s="9">
        <f t="shared" si="8"/>
        <v>0.39917816928250932</v>
      </c>
      <c r="Q25" s="11">
        <f>(2/3)*'Weir dims'!$B$22*((2*9.81)^0.5)*('Weir dims'!$D$4  + 'Weir dims'!$D$5)*(D25^1.5)</f>
        <v>1.7432229586343499E-2</v>
      </c>
      <c r="R25" s="3">
        <f t="shared" si="9"/>
        <v>276.30733216584395</v>
      </c>
      <c r="S25" s="9">
        <f t="shared" si="10"/>
        <v>0.61561337767959945</v>
      </c>
    </row>
    <row r="26" spans="1:19" x14ac:dyDescent="0.25">
      <c r="A26">
        <f>A25+0.25</f>
        <v>6</v>
      </c>
      <c r="B26">
        <f t="shared" si="0"/>
        <v>6</v>
      </c>
      <c r="C26" s="3">
        <f t="shared" si="1"/>
        <v>0.15239999999999998</v>
      </c>
      <c r="D26" s="3">
        <f t="shared" si="2"/>
        <v>0.15319999999999998</v>
      </c>
      <c r="E26" s="3">
        <f>IF(C26&gt;'Weir dims'!$D$7, C26-'Weir dims'!$D$7, 0)</f>
        <v>0.10159999999999998</v>
      </c>
      <c r="F26" s="3">
        <f t="shared" si="3"/>
        <v>0.10239999999999998</v>
      </c>
      <c r="G26" s="11">
        <f>(8/15) * 'Weir dims'!$B$21 * ((2*9.81)^0.5)*(TAN(RADIANS('Weir dims'!$B$2)/2)) * ((D26^2.5) - (F26^2.5))</f>
        <v>7.9757049042621514E-3</v>
      </c>
      <c r="H26" s="11">
        <f>(2/3) * 'Weir dims'!$B$22 * ((2*9.81)^0.5) * ('Weir dims'!$D$4  + 'Weir dims'!$D$5) * (F26 ^1.5)</f>
        <v>1.0150605413840342E-2</v>
      </c>
      <c r="I26" s="3">
        <f t="shared" si="4"/>
        <v>1.9793930867367925E-2</v>
      </c>
      <c r="J26" s="3">
        <f t="shared" si="5"/>
        <v>313.7411771654377</v>
      </c>
      <c r="K26" s="9">
        <f t="shared" si="6"/>
        <v>0.69901607126394016</v>
      </c>
      <c r="L26" s="9"/>
      <c r="M26" s="11">
        <f>(8/15) * 'Weir dims'!$B$21 * ((2*9.81)^0.5)*(TAN(RADIANS('Weir dims'!$B$2)/2)) * (D26^2.5)</f>
        <v>1.256532443292264E-2</v>
      </c>
      <c r="N26" s="3">
        <f t="shared" si="7"/>
        <v>199.16507264102628</v>
      </c>
      <c r="O26" s="9">
        <f t="shared" si="8"/>
        <v>0.44374024432602949</v>
      </c>
      <c r="Q26" s="11">
        <f>(2/3)*'Weir dims'!$B$22*((2*9.81)^0.5)*('Weir dims'!$D$4  + 'Weir dims'!$D$5)*(D26^1.5)</f>
        <v>1.8575057152401778E-2</v>
      </c>
      <c r="R26" s="3">
        <f t="shared" si="9"/>
        <v>294.42157477256853</v>
      </c>
      <c r="S26" s="9">
        <f t="shared" si="10"/>
        <v>0.65597195227051985</v>
      </c>
    </row>
    <row r="27" spans="1:19" x14ac:dyDescent="0.25">
      <c r="A27">
        <f t="shared" si="11"/>
        <v>6.25</v>
      </c>
      <c r="B27">
        <f t="shared" si="0"/>
        <v>6.25</v>
      </c>
      <c r="C27" s="3">
        <f t="shared" si="1"/>
        <v>0.15875</v>
      </c>
      <c r="D27" s="3">
        <f t="shared" si="2"/>
        <v>0.15955</v>
      </c>
      <c r="E27" s="3">
        <f>IF(C27&gt;'Weir dims'!$D$7, C27-'Weir dims'!$D$7, 0)</f>
        <v>0.10795</v>
      </c>
      <c r="F27" s="3">
        <f t="shared" si="3"/>
        <v>0.10875</v>
      </c>
      <c r="G27" s="11">
        <f>(8/15) * 'Weir dims'!$B$21 * ((2*9.81)^0.5)*(TAN(RADIANS('Weir dims'!$B$2)/2)) * ((D27^2.5) - (F27^2.5))</f>
        <v>8.5735557210464049E-3</v>
      </c>
      <c r="H27" s="11">
        <f>(2/3) * 'Weir dims'!$B$22 * ((2*9.81)^0.5) * ('Weir dims'!$D$4  + 'Weir dims'!$D$5) * (F27 ^1.5)</f>
        <v>1.1109279904093603E-2</v>
      </c>
      <c r="I27" s="3">
        <f t="shared" si="4"/>
        <v>2.1493656502652891E-2</v>
      </c>
      <c r="J27" s="3">
        <f t="shared" si="5"/>
        <v>340.68246160488815</v>
      </c>
      <c r="K27" s="9">
        <f t="shared" si="6"/>
        <v>0.75904131555547449</v>
      </c>
      <c r="L27" s="9"/>
      <c r="M27" s="11">
        <f>(8/15) * 'Weir dims'!$B$21 * ((2*9.81)^0.5)*(TAN(RADIANS('Weir dims'!$B$2)/2)) * (D27^2.5)</f>
        <v>1.390813234121482E-2</v>
      </c>
      <c r="N27" s="3">
        <f t="shared" si="7"/>
        <v>220.44907816158658</v>
      </c>
      <c r="O27" s="9">
        <f t="shared" si="8"/>
        <v>0.49116105804949201</v>
      </c>
      <c r="Q27" s="11">
        <f>(2/3)*'Weir dims'!$B$22*((2*9.81)^0.5)*('Weir dims'!$D$4  + 'Weir dims'!$D$5)*(D27^1.5)</f>
        <v>1.9741821623452487E-2</v>
      </c>
      <c r="R27" s="3">
        <f t="shared" si="9"/>
        <v>312.91522623953131</v>
      </c>
      <c r="S27" s="9">
        <f t="shared" si="10"/>
        <v>0.69717585068307741</v>
      </c>
    </row>
    <row r="28" spans="1:19" x14ac:dyDescent="0.25">
      <c r="A28">
        <f t="shared" si="11"/>
        <v>6.5</v>
      </c>
      <c r="B28">
        <f t="shared" si="0"/>
        <v>6.5</v>
      </c>
      <c r="C28" s="3">
        <f t="shared" si="1"/>
        <v>0.1651</v>
      </c>
      <c r="D28" s="3">
        <f t="shared" si="2"/>
        <v>0.16589999999999999</v>
      </c>
      <c r="E28" s="3">
        <f>IF(C28&gt;'Weir dims'!$D$7, C28-'Weir dims'!$D$7, 0)</f>
        <v>0.1143</v>
      </c>
      <c r="F28" s="3">
        <f t="shared" si="3"/>
        <v>0.11509999999999999</v>
      </c>
      <c r="G28" s="11">
        <f>(8/15) * 'Weir dims'!$B$21 * ((2*9.81)^0.5)*(TAN(RADIANS('Weir dims'!$B$2)/2)) * ((D28^2.5) - (F28^2.5))</f>
        <v>9.1858170909414599E-3</v>
      </c>
      <c r="H28" s="11">
        <f>(2/3) * 'Weir dims'!$B$22 * ((2*9.81)^0.5) * ('Weir dims'!$D$4  + 'Weir dims'!$D$5) * (F28 ^1.5)</f>
        <v>1.2096368155094839E-2</v>
      </c>
      <c r="I28" s="3">
        <f t="shared" si="4"/>
        <v>2.3240146288671638E-2</v>
      </c>
      <c r="J28" s="3">
        <f t="shared" si="5"/>
        <v>368.36497525235535</v>
      </c>
      <c r="K28" s="9">
        <f t="shared" si="6"/>
        <v>0.82071802024368079</v>
      </c>
      <c r="L28" s="9"/>
      <c r="M28" s="11">
        <f>(8/15) * 'Weir dims'!$B$21 * ((2*9.81)^0.5)*(TAN(RADIANS('Weir dims'!$B$2)/2)) * (D28^2.5)</f>
        <v>1.53335515732062E-2</v>
      </c>
      <c r="N28" s="3">
        <f t="shared" si="7"/>
        <v>243.04250393415509</v>
      </c>
      <c r="O28" s="9">
        <f t="shared" si="8"/>
        <v>0.5414992631350376</v>
      </c>
      <c r="Q28" s="11">
        <f>(2/3)*'Weir dims'!$B$22*((2*9.81)^0.5)*('Weir dims'!$D$4  + 'Weir dims'!$D$5)*(D28^1.5)</f>
        <v>2.0932041628960552E-2</v>
      </c>
      <c r="R28" s="3">
        <f t="shared" si="9"/>
        <v>331.78065666444866</v>
      </c>
      <c r="S28" s="9">
        <f t="shared" si="10"/>
        <v>0.73920807347726691</v>
      </c>
    </row>
    <row r="29" spans="1:19" x14ac:dyDescent="0.25">
      <c r="A29">
        <f t="shared" si="11"/>
        <v>6.75</v>
      </c>
      <c r="B29">
        <f t="shared" si="0"/>
        <v>6.75</v>
      </c>
      <c r="C29" s="3">
        <f t="shared" si="1"/>
        <v>0.17144999999999999</v>
      </c>
      <c r="D29" s="3">
        <f t="shared" si="2"/>
        <v>0.17224999999999999</v>
      </c>
      <c r="E29" s="3">
        <f>IF(C29&gt;'Weir dims'!$D$7, C29-'Weir dims'!$D$7, 0)</f>
        <v>0.12064999999999999</v>
      </c>
      <c r="F29" s="3">
        <f t="shared" si="3"/>
        <v>0.12144999999999999</v>
      </c>
      <c r="G29" s="11">
        <f>(8/15) * 'Weir dims'!$B$21 * ((2*9.81)^0.5)*(TAN(RADIANS('Weir dims'!$B$2)/2)) * ((D29^2.5) - (F29^2.5))</f>
        <v>9.812153688652004E-3</v>
      </c>
      <c r="H29" s="11">
        <f>(2/3) * 'Weir dims'!$B$22 * ((2*9.81)^0.5) * ('Weir dims'!$D$4  + 'Weir dims'!$D$5) * (F29 ^1.5)</f>
        <v>1.3111074629855717E-2</v>
      </c>
      <c r="I29" s="3">
        <f t="shared" si="4"/>
        <v>2.5032165323810432E-2</v>
      </c>
      <c r="J29" s="3">
        <f t="shared" si="5"/>
        <v>396.7691444572809</v>
      </c>
      <c r="K29" s="9">
        <f t="shared" si="6"/>
        <v>0.88400257518966285</v>
      </c>
      <c r="L29" s="9"/>
      <c r="M29" s="11">
        <f>(8/15) * 'Weir dims'!$B$21 * ((2*9.81)^0.5)*(TAN(RADIANS('Weir dims'!$B$2)/2)) * (D29^2.5)</f>
        <v>1.6843210240388828E-2</v>
      </c>
      <c r="N29" s="3">
        <f t="shared" si="7"/>
        <v>266.97115613232586</v>
      </c>
      <c r="O29" s="9">
        <f t="shared" si="8"/>
        <v>0.59481235579735825</v>
      </c>
      <c r="Q29" s="11">
        <f>(2/3)*'Weir dims'!$B$22*((2*9.81)^0.5)*('Weir dims'!$D$4  + 'Weir dims'!$D$5)*(D29^1.5)</f>
        <v>2.2145263725271661E-2</v>
      </c>
      <c r="R29" s="3">
        <f t="shared" si="9"/>
        <v>351.01067879649941</v>
      </c>
      <c r="S29" s="9">
        <f t="shared" si="10"/>
        <v>0.78205260744156901</v>
      </c>
    </row>
    <row r="30" spans="1:19" x14ac:dyDescent="0.25">
      <c r="A30">
        <f t="shared" si="11"/>
        <v>7</v>
      </c>
      <c r="B30">
        <f t="shared" si="0"/>
        <v>7</v>
      </c>
      <c r="C30" s="3">
        <f t="shared" si="1"/>
        <v>0.17779999999999999</v>
      </c>
      <c r="D30" s="3">
        <f t="shared" si="2"/>
        <v>0.17859999999999998</v>
      </c>
      <c r="E30" s="3">
        <f>IF(C30&gt;'Weir dims'!$D$7, C30-'Weir dims'!$D$7, 0)</f>
        <v>0.127</v>
      </c>
      <c r="F30" s="3">
        <f t="shared" si="3"/>
        <v>0.1278</v>
      </c>
      <c r="G30" s="11">
        <f>(8/15) * 'Weir dims'!$B$21 * ((2*9.81)^0.5)*(TAN(RADIANS('Weir dims'!$B$2)/2)) * ((D30^2.5) - (F30^2.5))</f>
        <v>1.0452252800136211E-2</v>
      </c>
      <c r="H30" s="11">
        <f>(2/3) * 'Weir dims'!$B$22 * ((2*9.81)^0.5) * ('Weir dims'!$D$4  + 'Weir dims'!$D$5) * (F30 ^1.5)</f>
        <v>1.4152667106221921E-2</v>
      </c>
      <c r="I30" s="3">
        <f t="shared" si="4"/>
        <v>2.686857253774308E-2</v>
      </c>
      <c r="J30" s="3">
        <f t="shared" si="5"/>
        <v>425.87688282996442</v>
      </c>
      <c r="K30" s="9">
        <f t="shared" si="6"/>
        <v>0.94885468387516991</v>
      </c>
      <c r="L30" s="9"/>
      <c r="M30" s="11">
        <f>(8/15) * 'Weir dims'!$B$21 * ((2*9.81)^0.5)*(TAN(RADIANS('Weir dims'!$B$2)/2)) * (D30^2.5)</f>
        <v>1.8438705571106585E-2</v>
      </c>
      <c r="N30" s="3">
        <f t="shared" si="7"/>
        <v>292.26035142029099</v>
      </c>
      <c r="O30" s="9">
        <f t="shared" si="8"/>
        <v>0.65115674162306214</v>
      </c>
      <c r="Q30" s="11">
        <f>(2/3)*'Weir dims'!$B$22*((2*9.81)^0.5)*('Weir dims'!$D$4  + 'Weir dims'!$D$5)*(D30^1.5)</f>
        <v>2.3381059795098694E-2</v>
      </c>
      <c r="R30" s="3">
        <f t="shared" si="9"/>
        <v>370.59850681721593</v>
      </c>
      <c r="S30" s="9">
        <f t="shared" si="10"/>
        <v>0.82569433375668055</v>
      </c>
    </row>
    <row r="31" spans="1:19" x14ac:dyDescent="0.25">
      <c r="A31">
        <f t="shared" si="11"/>
        <v>7.25</v>
      </c>
      <c r="B31">
        <f t="shared" si="0"/>
        <v>7.25</v>
      </c>
      <c r="C31" s="3">
        <f t="shared" si="1"/>
        <v>0.18414999999999998</v>
      </c>
      <c r="D31" s="3">
        <f t="shared" si="2"/>
        <v>0.18494999999999998</v>
      </c>
      <c r="E31" s="3">
        <f>IF(C31&gt;'Weir dims'!$D$7, C31-'Weir dims'!$D$7, 0)</f>
        <v>0.13334999999999997</v>
      </c>
      <c r="F31" s="3">
        <f t="shared" si="3"/>
        <v>0.13414999999999996</v>
      </c>
      <c r="G31" s="11">
        <f>(8/15) * 'Weir dims'!$B$21 * ((2*9.81)^0.5)*(TAN(RADIANS('Weir dims'!$B$2)/2)) * ((D31^2.5) - (F31^2.5))</f>
        <v>1.110582186676441E-2</v>
      </c>
      <c r="H31" s="11">
        <f>(2/3) * 'Weir dims'!$B$22 * ((2*9.81)^0.5) * ('Weir dims'!$D$4  + 'Weir dims'!$D$5) * (F31 ^1.5)</f>
        <v>1.5220468697354174E-2</v>
      </c>
      <c r="I31" s="3">
        <f t="shared" si="4"/>
        <v>2.8748309296017495E-2</v>
      </c>
      <c r="J31" s="3">
        <f t="shared" si="5"/>
        <v>455.67141062001627</v>
      </c>
      <c r="K31" s="9">
        <f t="shared" si="6"/>
        <v>1.0152369609773693</v>
      </c>
      <c r="L31" s="9"/>
      <c r="M31" s="11">
        <f>(8/15) * 'Weir dims'!$B$21 * ((2*9.81)^0.5)*(TAN(RADIANS('Weir dims'!$B$2)/2)) * (D31^2.5)</f>
        <v>2.0121605604418866E-2</v>
      </c>
      <c r="N31" s="3">
        <f t="shared" si="7"/>
        <v>318.93494380121098</v>
      </c>
      <c r="O31" s="9">
        <f t="shared" si="8"/>
        <v>0.71058779538890426</v>
      </c>
      <c r="Q31" s="11">
        <f>(2/3)*'Weir dims'!$B$22*((2*9.81)^0.5)*('Weir dims'!$D$4  + 'Weir dims'!$D$5)*(D31^1.5)</f>
        <v>2.4639024773940553E-2</v>
      </c>
      <c r="R31" s="3">
        <f t="shared" si="9"/>
        <v>390.53772030337586</v>
      </c>
      <c r="S31" s="9">
        <f t="shared" si="10"/>
        <v>0.8701189477047534</v>
      </c>
    </row>
    <row r="32" spans="1:19" x14ac:dyDescent="0.25">
      <c r="A32">
        <f t="shared" si="11"/>
        <v>7.5</v>
      </c>
      <c r="B32">
        <f t="shared" si="0"/>
        <v>7.5</v>
      </c>
      <c r="C32" s="3">
        <f t="shared" si="1"/>
        <v>0.1905</v>
      </c>
      <c r="D32" s="3">
        <f t="shared" si="2"/>
        <v>0.1913</v>
      </c>
      <c r="E32" s="3">
        <f>IF(C32&gt;'Weir dims'!$D$7, C32-'Weir dims'!$D$7, 0)</f>
        <v>0.13969999999999999</v>
      </c>
      <c r="F32" s="3">
        <f t="shared" si="3"/>
        <v>0.14049999999999999</v>
      </c>
      <c r="G32" s="11">
        <f>(8/15) * 'Weir dims'!$B$21 * ((2*9.81)^0.5)*(TAN(RADIANS('Weir dims'!$B$2)/2)) * ((D32^2.5) - (F32^2.5))</f>
        <v>1.1772586390531074E-2</v>
      </c>
      <c r="H32" s="11">
        <f>(2/3) * 'Weir dims'!$B$22 * ((2*9.81)^0.5) * ('Weir dims'!$D$4  + 'Weir dims'!$D$5) * (F32 ^1.5)</f>
        <v>1.6313851213197041E-2</v>
      </c>
      <c r="I32" s="3">
        <f t="shared" si="4"/>
        <v>3.0670389863271103E-2</v>
      </c>
      <c r="J32" s="3">
        <f t="shared" si="5"/>
        <v>486.13710355476923</v>
      </c>
      <c r="K32" s="9">
        <f t="shared" si="6"/>
        <v>1.0831145955804775</v>
      </c>
      <c r="L32" s="9"/>
      <c r="M32" s="11">
        <f>(8/15) * 'Weir dims'!$B$21 * ((2*9.81)^0.5)*(TAN(RADIANS('Weir dims'!$B$2)/2)) * (D32^2.5)</f>
        <v>2.1893450734531927E-2</v>
      </c>
      <c r="N32" s="3">
        <f t="shared" si="7"/>
        <v>347.01934909702675</v>
      </c>
      <c r="O32" s="9">
        <f t="shared" si="8"/>
        <v>0.77315991560286512</v>
      </c>
      <c r="Q32" s="11">
        <f>(2/3)*'Weir dims'!$B$22*((2*9.81)^0.5)*('Weir dims'!$D$4  + 'Weir dims'!$D$5)*(D32^1.5)</f>
        <v>2.5918774652408588E-2</v>
      </c>
      <c r="R32" s="3">
        <f t="shared" si="9"/>
        <v>410.82223256313182</v>
      </c>
      <c r="S32" s="9">
        <f t="shared" si="10"/>
        <v>0.91531288812221756</v>
      </c>
    </row>
    <row r="33" spans="1:19" x14ac:dyDescent="0.25">
      <c r="A33">
        <f t="shared" si="11"/>
        <v>7.75</v>
      </c>
      <c r="B33">
        <f t="shared" si="0"/>
        <v>7.75</v>
      </c>
      <c r="C33" s="3">
        <f t="shared" si="1"/>
        <v>0.19685</v>
      </c>
      <c r="D33" s="3">
        <f t="shared" si="2"/>
        <v>0.19764999999999999</v>
      </c>
      <c r="E33" s="3">
        <f>IF(C33&gt;'Weir dims'!$D$7, C33-'Weir dims'!$D$7, 0)</f>
        <v>0.14605000000000001</v>
      </c>
      <c r="F33" s="3">
        <f t="shared" si="3"/>
        <v>0.14685000000000001</v>
      </c>
      <c r="G33" s="11">
        <f>(8/15) * 'Weir dims'!$B$21 * ((2*9.81)^0.5)*(TAN(RADIANS('Weir dims'!$B$2)/2)) * ((D33^2.5) - (F33^2.5))</f>
        <v>1.2452288134304088E-2</v>
      </c>
      <c r="H33" s="11">
        <f>(2/3) * 'Weir dims'!$B$22 * ((2*9.81)^0.5) * ('Weir dims'!$D$4  + 'Weir dims'!$D$5) * (F33 ^1.5)</f>
        <v>1.7432229586343499E-2</v>
      </c>
      <c r="I33" s="3">
        <f t="shared" si="4"/>
        <v>3.2633893350947164E-2</v>
      </c>
      <c r="J33" s="3">
        <f t="shared" si="5"/>
        <v>517.25936520758296</v>
      </c>
      <c r="K33" s="9">
        <f t="shared" si="6"/>
        <v>1.152455066812045</v>
      </c>
      <c r="L33" s="9"/>
      <c r="M33" s="11">
        <f>(8/15) * 'Weir dims'!$B$21 * ((2*9.81)^0.5)*(TAN(RADIANS('Weir dims'!$B$2)/2)) * (D33^2.5)</f>
        <v>2.3755755123630349E-2</v>
      </c>
      <c r="N33" s="3">
        <f t="shared" si="7"/>
        <v>376.53756734236487</v>
      </c>
      <c r="O33" s="9">
        <f t="shared" si="8"/>
        <v>0.83892657439782303</v>
      </c>
      <c r="Q33" s="11">
        <f>(2/3)*'Weir dims'!$B$22*((2*9.81)^0.5)*('Weir dims'!$D$4  + 'Weir dims'!$D$5)*(D33^1.5)</f>
        <v>2.7219944712844328E-2</v>
      </c>
      <c r="R33" s="3">
        <f t="shared" si="9"/>
        <v>431.44626268574569</v>
      </c>
      <c r="S33" s="9">
        <f t="shared" si="10"/>
        <v>0.96126327512652454</v>
      </c>
    </row>
    <row r="34" spans="1:19" x14ac:dyDescent="0.25">
      <c r="A34">
        <f t="shared" si="11"/>
        <v>8</v>
      </c>
      <c r="B34">
        <f t="shared" si="0"/>
        <v>8</v>
      </c>
      <c r="C34" s="3">
        <f t="shared" si="1"/>
        <v>0.20319999999999999</v>
      </c>
      <c r="D34" s="3">
        <f t="shared" si="2"/>
        <v>0.20399999999999999</v>
      </c>
      <c r="E34" s="3">
        <f>IF(C34&gt;'Weir dims'!$D$7, C34-'Weir dims'!$D$7, 0)</f>
        <v>0.15239999999999998</v>
      </c>
      <c r="F34" s="3">
        <f t="shared" si="3"/>
        <v>0.15319999999999998</v>
      </c>
      <c r="G34" s="11">
        <f>(8/15) * 'Weir dims'!$B$21 * ((2*9.81)^0.5)*(TAN(RADIANS('Weir dims'!$B$2)/2)) * ((D34^2.5) - (F34^2.5))</f>
        <v>1.3144683565372944E-2</v>
      </c>
      <c r="H34" s="11">
        <f>(2/3) * 'Weir dims'!$B$22 * ((2*9.81)^0.5) * ('Weir dims'!$D$4  + 'Weir dims'!$D$5) * (F34 ^1.5)</f>
        <v>1.8575057152401778E-2</v>
      </c>
      <c r="I34" s="3">
        <f t="shared" si="4"/>
        <v>3.463795686381E-2</v>
      </c>
      <c r="J34" s="3">
        <f t="shared" si="5"/>
        <v>549.02451836755745</v>
      </c>
      <c r="K34" s="9">
        <f t="shared" si="6"/>
        <v>1.2232279018144274</v>
      </c>
      <c r="L34" s="9"/>
      <c r="M34" s="11">
        <f>(8/15) * 'Weir dims'!$B$21 * ((2*9.81)^0.5)*(TAN(RADIANS('Weir dims'!$B$2)/2)) * (D34^2.5)</f>
        <v>2.5710007998295582E-2</v>
      </c>
      <c r="N34" s="3">
        <f t="shared" si="7"/>
        <v>407.51320333325384</v>
      </c>
      <c r="O34" s="9">
        <f t="shared" si="8"/>
        <v>0.90794036331414252</v>
      </c>
      <c r="Q34" s="11">
        <f>(2/3)*'Weir dims'!$B$22*((2*9.81)^0.5)*('Weir dims'!$D$4  + 'Weir dims'!$D$5)*(D34^1.5)</f>
        <v>2.8542187966037674E-2</v>
      </c>
      <c r="R34" s="3">
        <f t="shared" si="9"/>
        <v>452.40431076298955</v>
      </c>
      <c r="S34" s="9">
        <f t="shared" si="10"/>
        <v>1.0079578549093713</v>
      </c>
    </row>
    <row r="35" spans="1:19" x14ac:dyDescent="0.25">
      <c r="A35">
        <f t="shared" si="11"/>
        <v>8.25</v>
      </c>
      <c r="B35">
        <f t="shared" si="0"/>
        <v>8.25</v>
      </c>
      <c r="C35" s="3">
        <f t="shared" si="1"/>
        <v>0.20954999999999999</v>
      </c>
      <c r="D35" s="3">
        <f t="shared" si="2"/>
        <v>0.21034999999999998</v>
      </c>
      <c r="E35" s="3">
        <f>IF(C35&gt;'Weir dims'!$D$7, C35-'Weir dims'!$D$7, 0)</f>
        <v>0.15875</v>
      </c>
      <c r="F35" s="3">
        <f t="shared" si="3"/>
        <v>0.15955</v>
      </c>
      <c r="G35" s="11">
        <f>(8/15) * 'Weir dims'!$B$21 * ((2*9.81)^0.5)*(TAN(RADIANS('Weir dims'!$B$2)/2)) * ((D35^2.5) - (F35^2.5))</f>
        <v>1.3849542501300391E-2</v>
      </c>
      <c r="H35" s="11">
        <f>(2/3) * 'Weir dims'!$B$22 * ((2*9.81)^0.5) * ('Weir dims'!$D$4  + 'Weir dims'!$D$5) * (F35 ^1.5)</f>
        <v>1.9741821623452487E-2</v>
      </c>
      <c r="I35" s="3">
        <f t="shared" si="4"/>
        <v>3.668176962423015E-2</v>
      </c>
      <c r="J35" s="3">
        <f t="shared" si="5"/>
        <v>581.41971190726417</v>
      </c>
      <c r="K35" s="9">
        <f t="shared" si="6"/>
        <v>1.2954044682458719</v>
      </c>
      <c r="L35" s="9"/>
      <c r="M35" s="11">
        <f>(8/15) * 'Weir dims'!$B$21 * ((2*9.81)^0.5)*(TAN(RADIANS('Weir dims'!$B$2)/2)) * (D35^2.5)</f>
        <v>2.775767484251521E-2</v>
      </c>
      <c r="N35" s="3">
        <f t="shared" si="7"/>
        <v>439.969485536766</v>
      </c>
      <c r="O35" s="9">
        <f t="shared" si="8"/>
        <v>0.98025303543039954</v>
      </c>
      <c r="Q35" s="11">
        <f>(2/3)*'Weir dims'!$B$22*((2*9.81)^0.5)*('Weir dims'!$D$4  + 'Weir dims'!$D$5)*(D35^1.5)</f>
        <v>2.9885173759762306E-2</v>
      </c>
      <c r="R35" s="3">
        <f t="shared" si="9"/>
        <v>473.69113583391368</v>
      </c>
      <c r="S35" s="9">
        <f t="shared" si="10"/>
        <v>1.0553849505975916</v>
      </c>
    </row>
    <row r="36" spans="1:19" x14ac:dyDescent="0.25">
      <c r="A36">
        <f t="shared" si="11"/>
        <v>8.5</v>
      </c>
      <c r="B36">
        <f t="shared" si="0"/>
        <v>8.5</v>
      </c>
      <c r="C36" s="3">
        <f t="shared" si="1"/>
        <v>0.21589999999999998</v>
      </c>
      <c r="D36" s="3">
        <f t="shared" si="2"/>
        <v>0.21669999999999998</v>
      </c>
      <c r="E36" s="3">
        <f>IF(C36&gt;'Weir dims'!$D$7, C36-'Weir dims'!$D$7, 0)</f>
        <v>0.16509999999999997</v>
      </c>
      <c r="F36" s="3">
        <f t="shared" si="3"/>
        <v>0.16589999999999996</v>
      </c>
      <c r="G36" s="11">
        <f>(8/15) * 'Weir dims'!$B$21 * ((2*9.81)^0.5)*(TAN(RADIANS('Weir dims'!$B$2)/2)) * ((D36^2.5) - (F36^2.5))</f>
        <v>1.456664692527126E-2</v>
      </c>
      <c r="H36" s="11">
        <f>(2/3) * 'Weir dims'!$B$22 * ((2*9.81)^0.5) * ('Weir dims'!$D$4  + 'Weir dims'!$D$5) * (F36 ^1.5)</f>
        <v>2.0932041628960542E-2</v>
      </c>
      <c r="I36" s="3">
        <f t="shared" si="4"/>
        <v>3.8764567901221125E-2</v>
      </c>
      <c r="J36" s="3">
        <f t="shared" si="5"/>
        <v>614.43284040609012</v>
      </c>
      <c r="K36" s="9">
        <f t="shared" si="6"/>
        <v>1.3689577952011425</v>
      </c>
      <c r="L36" s="9"/>
      <c r="M36" s="11">
        <f>(8/15) * 'Weir dims'!$B$21 * ((2*9.81)^0.5)*(TAN(RADIANS('Weir dims'!$B$2)/2)) * (D36^2.5)</f>
        <v>2.990019849847746E-2</v>
      </c>
      <c r="N36" s="3">
        <f t="shared" si="7"/>
        <v>473.92928353901993</v>
      </c>
      <c r="O36" s="9">
        <f t="shared" si="8"/>
        <v>1.0559155442375718</v>
      </c>
      <c r="Q36" s="11">
        <f>(2/3)*'Weir dims'!$B$22*((2*9.81)^0.5)*('Weir dims'!$D$4  + 'Weir dims'!$D$5)*(D36^1.5)</f>
        <v>3.1248586535583642E-2</v>
      </c>
      <c r="R36" s="3">
        <f t="shared" si="9"/>
        <v>495.30173617978949</v>
      </c>
      <c r="S36" s="9">
        <f t="shared" si="10"/>
        <v>1.1035334183502439</v>
      </c>
    </row>
    <row r="37" spans="1:19" x14ac:dyDescent="0.25">
      <c r="A37">
        <f>A36+0.25</f>
        <v>8.75</v>
      </c>
      <c r="B37">
        <f t="shared" si="0"/>
        <v>8.75</v>
      </c>
      <c r="C37" s="3">
        <f t="shared" si="1"/>
        <v>0.22225</v>
      </c>
      <c r="D37" s="3">
        <f t="shared" si="2"/>
        <v>0.22305</v>
      </c>
      <c r="E37" s="3">
        <f>IF(C37&gt;'Weir dims'!$D$7, C37-'Weir dims'!$D$7, 0)</f>
        <v>0.17144999999999999</v>
      </c>
      <c r="F37" s="3">
        <f t="shared" si="3"/>
        <v>0.17224999999999999</v>
      </c>
      <c r="G37" s="11">
        <f>(8/15) * 'Weir dims'!$B$21 * ((2*9.81)^0.5)*(TAN(RADIANS('Weir dims'!$B$2)/2)) * ((D37^2.5) - (F37^2.5))</f>
        <v>1.5295789944443859E-2</v>
      </c>
      <c r="H37" s="11">
        <f>(2/3) * 'Weir dims'!$B$22 * ((2*9.81)^0.5) * ('Weir dims'!$D$4  + 'Weir dims'!$D$5) * (F37 ^1.5)</f>
        <v>2.2145263725271661E-2</v>
      </c>
      <c r="I37" s="3">
        <f t="shared" si="4"/>
        <v>4.0885630607329353E-2</v>
      </c>
      <c r="J37" s="3">
        <f t="shared" si="5"/>
        <v>648.05247435930266</v>
      </c>
      <c r="K37" s="9">
        <f t="shared" si="6"/>
        <v>1.4438624177171546</v>
      </c>
      <c r="L37" s="9"/>
      <c r="M37" s="11">
        <f>(8/15) * 'Weir dims'!$B$21 * ((2*9.81)^0.5)*(TAN(RADIANS('Weir dims'!$B$2)/2)) * (D37^2.5)</f>
        <v>3.2139000184832685E-2</v>
      </c>
      <c r="N37" s="3">
        <f t="shared" si="7"/>
        <v>509.41512418500457</v>
      </c>
      <c r="O37" s="9">
        <f t="shared" si="8"/>
        <v>1.1349780795986046</v>
      </c>
      <c r="Q37" s="11">
        <f>(2/3)*'Weir dims'!$B$22*((2*9.81)^0.5)*('Weir dims'!$D$4  + 'Weir dims'!$D$5)*(D37^1.5)</f>
        <v>3.2632124714221764E-2</v>
      </c>
      <c r="R37" s="3">
        <f t="shared" si="9"/>
        <v>517.23133165669685</v>
      </c>
      <c r="S37" s="9">
        <f t="shared" si="10"/>
        <v>1.1523926079955742</v>
      </c>
    </row>
    <row r="38" spans="1:19" x14ac:dyDescent="0.25">
      <c r="A38">
        <f t="shared" si="11"/>
        <v>9</v>
      </c>
      <c r="B38">
        <f t="shared" si="0"/>
        <v>9</v>
      </c>
      <c r="C38" s="3">
        <f t="shared" si="1"/>
        <v>0.2286</v>
      </c>
      <c r="D38" s="3">
        <f t="shared" si="2"/>
        <v>0.22939999999999999</v>
      </c>
      <c r="E38" s="3">
        <f>IF(C38&gt;'Weir dims'!$D$7, C38-'Weir dims'!$D$7, 0)</f>
        <v>0.17780000000000001</v>
      </c>
      <c r="F38" s="3">
        <f t="shared" si="3"/>
        <v>0.17860000000000001</v>
      </c>
      <c r="G38" s="11">
        <f>(8/15) * 'Weir dims'!$B$21 * ((2*9.81)^0.5)*(TAN(RADIANS('Weir dims'!$B$2)/2)) * ((D38^2.5) - (F38^2.5))</f>
        <v>1.6036774869728553E-2</v>
      </c>
      <c r="H38" s="11">
        <f>(2/3) * 'Weir dims'!$B$22 * ((2*9.81)^0.5) * ('Weir dims'!$D$4  + 'Weir dims'!$D$5) * (F38 ^1.5)</f>
        <v>2.3381059795098694E-2</v>
      </c>
      <c r="I38" s="3">
        <f t="shared" si="4"/>
        <v>4.3044275453991358E-2</v>
      </c>
      <c r="J38" s="3">
        <f t="shared" si="5"/>
        <v>682.26779923902939</v>
      </c>
      <c r="K38" s="9">
        <f t="shared" si="6"/>
        <v>1.5200942410006959</v>
      </c>
      <c r="L38" s="9"/>
      <c r="M38" s="11">
        <f>(8/15) * 'Weir dims'!$B$21 * ((2*9.81)^0.5)*(TAN(RADIANS('Weir dims'!$B$2)/2)) * (D38^2.5)</f>
        <v>3.4475480440835135E-2</v>
      </c>
      <c r="N38" s="3">
        <f t="shared" si="7"/>
        <v>546.44920654357804</v>
      </c>
      <c r="O38" s="9">
        <f t="shared" si="8"/>
        <v>1.2174901010904617</v>
      </c>
      <c r="Q38" s="11">
        <f>(2/3)*'Weir dims'!$B$22*((2*9.81)^0.5)*('Weir dims'!$D$4  + 'Weir dims'!$D$5)*(D38^1.5)</f>
        <v>3.4035499692865616E-2</v>
      </c>
      <c r="R38" s="3">
        <f t="shared" si="9"/>
        <v>539.47534780258081</v>
      </c>
      <c r="S38" s="9">
        <f t="shared" si="10"/>
        <v>1.2019523276215014</v>
      </c>
    </row>
    <row r="39" spans="1:19" x14ac:dyDescent="0.25">
      <c r="A39">
        <f t="shared" si="11"/>
        <v>9.25</v>
      </c>
      <c r="B39">
        <f t="shared" si="0"/>
        <v>9.25</v>
      </c>
      <c r="C39" s="3">
        <f t="shared" si="1"/>
        <v>0.23494999999999999</v>
      </c>
      <c r="D39" s="3">
        <f t="shared" si="2"/>
        <v>0.23574999999999999</v>
      </c>
      <c r="E39" s="3">
        <f>IF(C39&gt;'Weir dims'!$D$7, C39-'Weir dims'!$D$7, 0)</f>
        <v>0.18414999999999998</v>
      </c>
      <c r="F39" s="3">
        <f t="shared" si="3"/>
        <v>0.18494999999999998</v>
      </c>
      <c r="G39" s="11">
        <f>(8/15) * 'Weir dims'!$B$21 * ((2*9.81)^0.5)*(TAN(RADIANS('Weir dims'!$B$2)/2)) * ((D39^2.5) - (F39^2.5))</f>
        <v>1.6789414399287366E-2</v>
      </c>
      <c r="H39" s="11">
        <f>(2/3) * 'Weir dims'!$B$22 * ((2*9.81)^0.5) * ('Weir dims'!$D$4  + 'Weir dims'!$D$5) * (F39 ^1.5)</f>
        <v>2.4639024773940553E-2</v>
      </c>
      <c r="I39" s="3">
        <f t="shared" si="4"/>
        <v>4.5239855577164888E-2</v>
      </c>
      <c r="J39" s="3">
        <f t="shared" si="5"/>
        <v>717.06856200925404</v>
      </c>
      <c r="K39" s="9">
        <f t="shared" si="6"/>
        <v>1.597630421263714</v>
      </c>
      <c r="L39" s="9"/>
      <c r="M39" s="11">
        <f>(8/15) * 'Weir dims'!$B$21 * ((2*9.81)^0.5)*(TAN(RADIANS('Weir dims'!$B$2)/2)) * (D39^2.5)</f>
        <v>3.6911020003706232E-2</v>
      </c>
      <c r="N39" s="3">
        <f t="shared" si="7"/>
        <v>585.05341581400182</v>
      </c>
      <c r="O39" s="9">
        <f t="shared" si="8"/>
        <v>1.3035003689879183</v>
      </c>
      <c r="Q39" s="11">
        <f>(2/3)*'Weir dims'!$B$22*((2*9.81)^0.5)*('Weir dims'!$D$4  + 'Weir dims'!$D$5)*(D39^1.5)</f>
        <v>3.545843494038238E-2</v>
      </c>
      <c r="R39" s="3">
        <f t="shared" si="9"/>
        <v>562.02940149598282</v>
      </c>
      <c r="S39" s="9">
        <f t="shared" si="10"/>
        <v>1.252202811623238</v>
      </c>
    </row>
    <row r="40" spans="1:19" x14ac:dyDescent="0.25">
      <c r="A40">
        <f t="shared" si="11"/>
        <v>9.5</v>
      </c>
      <c r="B40">
        <f t="shared" si="0"/>
        <v>9.5</v>
      </c>
      <c r="C40" s="3">
        <f t="shared" si="1"/>
        <v>0.24129999999999999</v>
      </c>
      <c r="D40" s="3">
        <f t="shared" si="2"/>
        <v>0.24209999999999998</v>
      </c>
      <c r="E40" s="3">
        <f>IF(C40&gt;'Weir dims'!$D$7, C40-'Weir dims'!$D$7, 0)</f>
        <v>0.1905</v>
      </c>
      <c r="F40" s="3">
        <f t="shared" si="3"/>
        <v>0.1913</v>
      </c>
      <c r="G40" s="11">
        <f>(8/15) * 'Weir dims'!$B$21 * ((2*9.81)^0.5)*(TAN(RADIANS('Weir dims'!$B$2)/2)) * ((D40^2.5) - (F40^2.5))</f>
        <v>1.7553529891119291E-2</v>
      </c>
      <c r="H40" s="11">
        <f>(2/3) * 'Weir dims'!$B$22 * ((2*9.81)^0.5) * ('Weir dims'!$D$4  + 'Weir dims'!$D$5) * (F40 ^1.5)</f>
        <v>2.5918774652408588E-2</v>
      </c>
      <c r="I40" s="3">
        <f t="shared" si="4"/>
        <v>4.7471756561532449E-2</v>
      </c>
      <c r="J40" s="3">
        <f t="shared" si="5"/>
        <v>752.4450239583349</v>
      </c>
      <c r="K40" s="9">
        <f t="shared" si="6"/>
        <v>1.6764492606340564</v>
      </c>
      <c r="L40" s="9"/>
      <c r="M40" s="11">
        <f>(8/15) * 'Weir dims'!$B$21 * ((2*9.81)^0.5)*(TAN(RADIANS('Weir dims'!$B$2)/2)) * (D40^2.5)</f>
        <v>3.9446980625651218E-2</v>
      </c>
      <c r="N40" s="3">
        <f t="shared" si="7"/>
        <v>625.24933627595976</v>
      </c>
      <c r="O40" s="9">
        <f t="shared" si="8"/>
        <v>1.3930569731162301</v>
      </c>
      <c r="Q40" s="11">
        <f>(2/3)*'Weir dims'!$B$22*((2*9.81)^0.5)*('Weir dims'!$D$4  + 'Weir dims'!$D$5)*(D40^1.5)</f>
        <v>3.6900665178465651E-2</v>
      </c>
      <c r="R40" s="3">
        <f t="shared" si="9"/>
        <v>584.8892879769345</v>
      </c>
      <c r="S40" s="9">
        <f t="shared" si="10"/>
        <v>1.3031346917858104</v>
      </c>
    </row>
    <row r="41" spans="1:19" x14ac:dyDescent="0.25">
      <c r="A41">
        <f t="shared" si="11"/>
        <v>9.75</v>
      </c>
      <c r="B41">
        <f t="shared" si="0"/>
        <v>9.75</v>
      </c>
      <c r="C41" s="3">
        <f t="shared" si="1"/>
        <v>0.24764999999999998</v>
      </c>
      <c r="D41" s="3">
        <f t="shared" si="2"/>
        <v>0.24844999999999998</v>
      </c>
      <c r="E41" s="3">
        <f>IF(C41&gt;'Weir dims'!$D$7, C41-'Weir dims'!$D$7, 0)</f>
        <v>0.19684999999999997</v>
      </c>
      <c r="F41" s="3">
        <f t="shared" si="3"/>
        <v>0.19764999999999996</v>
      </c>
      <c r="G41" s="11">
        <f>(8/15) * 'Weir dims'!$B$21 * ((2*9.81)^0.5)*(TAN(RADIANS('Weir dims'!$B$2)/2)) * ((D41^2.5) - (F41^2.5))</f>
        <v>1.8328950712555709E-2</v>
      </c>
      <c r="H41" s="11">
        <f>(2/3) * 'Weir dims'!$B$22 * ((2*9.81)^0.5) * ('Weir dims'!$D$4  + 'Weir dims'!$D$5) * (F41 ^1.5)</f>
        <v>2.7219944712844328E-2</v>
      </c>
      <c r="I41" s="3">
        <f t="shared" si="4"/>
        <v>4.9739393804536847E-2</v>
      </c>
      <c r="J41" s="3">
        <f t="shared" si="5"/>
        <v>788.3879189179853</v>
      </c>
      <c r="K41" s="9">
        <f t="shared" si="6"/>
        <v>1.7565301140672636</v>
      </c>
      <c r="L41" s="9"/>
      <c r="M41" s="11">
        <f>(8/15) * 'Weir dims'!$B$21 * ((2*9.81)^0.5)*(TAN(RADIANS('Weir dims'!$B$2)/2)) * (D41^2.5)</f>
        <v>4.2084705836186058E-2</v>
      </c>
      <c r="N41" s="3">
        <f t="shared" si="7"/>
        <v>667.05826337272276</v>
      </c>
      <c r="O41" s="9">
        <f t="shared" si="8"/>
        <v>1.4862073597724552</v>
      </c>
      <c r="Q41" s="11">
        <f>(2/3)*'Weir dims'!$B$22*((2*9.81)^0.5)*('Weir dims'!$D$4  + 'Weir dims'!$D$5)*(D41^1.5)</f>
        <v>3.8361935638502674E-2</v>
      </c>
      <c r="R41" s="3">
        <f t="shared" si="9"/>
        <v>608.05096906802635</v>
      </c>
      <c r="S41" s="9">
        <f t="shared" si="10"/>
        <v>1.3547389710405735</v>
      </c>
    </row>
    <row r="42" spans="1:19" x14ac:dyDescent="0.25">
      <c r="A42">
        <f t="shared" si="11"/>
        <v>10</v>
      </c>
      <c r="B42">
        <f t="shared" si="0"/>
        <v>10</v>
      </c>
      <c r="C42" s="3">
        <f t="shared" si="1"/>
        <v>0.254</v>
      </c>
      <c r="D42" s="3">
        <f t="shared" si="2"/>
        <v>0.25480000000000003</v>
      </c>
      <c r="E42" s="3">
        <f>IF(C42&gt;'Weir dims'!$D$7, C42-'Weir dims'!$D$7, 0)</f>
        <v>0.20319999999999999</v>
      </c>
      <c r="F42" s="3">
        <f t="shared" si="3"/>
        <v>0.20399999999999999</v>
      </c>
      <c r="G42" s="11">
        <f>(8/15) * 'Weir dims'!$B$21 * ((2*9.81)^0.5)*(TAN(RADIANS('Weir dims'!$B$2)/2)) * ((D42^2.5) - (F42^2.5))</f>
        <v>1.9115513656471184E-2</v>
      </c>
      <c r="H42" s="11">
        <f>(2/3) * 'Weir dims'!$B$22 * ((2*9.81)^0.5) * ('Weir dims'!$D$4  + 'Weir dims'!$D$5) * (F42 ^1.5)</f>
        <v>2.8542187966037674E-2</v>
      </c>
      <c r="I42" s="3">
        <f t="shared" si="4"/>
        <v>5.2042210171779679E-2</v>
      </c>
      <c r="J42" s="3">
        <f t="shared" si="5"/>
        <v>824.88841610046711</v>
      </c>
      <c r="K42" s="9">
        <f t="shared" si="6"/>
        <v>1.8378533065477489</v>
      </c>
      <c r="L42" s="9"/>
      <c r="M42" s="11">
        <f>(8/15) * 'Weir dims'!$B$21 * ((2*9.81)^0.5)*(TAN(RADIANS('Weir dims'!$B$2)/2)) * (D42^2.5)</f>
        <v>4.4825521654766769E-2</v>
      </c>
      <c r="N42" s="3">
        <f t="shared" si="7"/>
        <v>710.50121500658952</v>
      </c>
      <c r="O42" s="9">
        <f t="shared" si="8"/>
        <v>1.5829983568917207</v>
      </c>
      <c r="Q42" s="11">
        <f>(2/3)*'Weir dims'!$B$22*((2*9.81)^0.5)*('Weir dims'!$D$4  + 'Weir dims'!$D$5)*(D42^1.5)</f>
        <v>3.984200138538968E-2</v>
      </c>
      <c r="R42" s="3">
        <f t="shared" si="9"/>
        <v>631.51056245662949</v>
      </c>
      <c r="S42" s="9">
        <f t="shared" si="10"/>
        <v>1.4070069995859746</v>
      </c>
    </row>
    <row r="43" spans="1:19" x14ac:dyDescent="0.25">
      <c r="A43">
        <f t="shared" ref="A43:A50" si="12">A42+0.25</f>
        <v>10.25</v>
      </c>
      <c r="B43">
        <f t="shared" si="0"/>
        <v>10.25</v>
      </c>
      <c r="C43" s="3">
        <f t="shared" si="1"/>
        <v>0.26034999999999997</v>
      </c>
      <c r="D43" s="3">
        <f t="shared" si="2"/>
        <v>0.26114999999999999</v>
      </c>
      <c r="E43" s="3">
        <f>IF(C43&gt;'Weir dims'!$D$7, C43-'Weir dims'!$D$7, 0)</f>
        <v>0.20954999999999996</v>
      </c>
      <c r="F43" s="3">
        <f t="shared" si="3"/>
        <v>0.21034999999999995</v>
      </c>
      <c r="G43" s="11">
        <f>(8/15) * 'Weir dims'!$B$21 * ((2*9.81)^0.5)*(TAN(RADIANS('Weir dims'!$B$2)/2)) * ((D43^2.5) - (F43^2.5))</f>
        <v>1.9913062415627673E-2</v>
      </c>
      <c r="H43" s="11">
        <f>(2/3) * 'Weir dims'!$B$22 * ((2*9.81)^0.5) * ('Weir dims'!$D$4  + 'Weir dims'!$D$5) * (F43 ^1.5)</f>
        <v>2.9885173759762306E-2</v>
      </c>
      <c r="I43" s="3">
        <f t="shared" ref="I43:I50" si="13" xml:space="preserve"> IF(H43&gt;0, ( G43+H43 ) * 1.092, G43)</f>
        <v>5.4379673903525855E-2</v>
      </c>
      <c r="J43" s="3">
        <f t="shared" si="5"/>
        <v>861.93808691590732</v>
      </c>
      <c r="K43" s="9">
        <f t="shared" ref="K43:K50" si="14">I43 * 35.3146667</f>
        <v>1.9204000591577033</v>
      </c>
      <c r="L43" s="9"/>
      <c r="M43" s="11">
        <f>(8/15) * 'Weir dims'!$B$21 * ((2*9.81)^0.5)*(TAN(RADIANS('Weir dims'!$B$2)/2)) * (D43^2.5)</f>
        <v>4.7670737258142887E-2</v>
      </c>
      <c r="N43" s="3">
        <f t="shared" si="7"/>
        <v>755.598942116687</v>
      </c>
      <c r="O43" s="9">
        <f t="shared" ref="O43:O50" si="15">M43 * 35.3146667</f>
        <v>1.6834761976145878</v>
      </c>
      <c r="Q43" s="11">
        <f>(2/3)*'Weir dims'!$B$22*((2*9.81)^0.5)*('Weir dims'!$D$4  + 'Weir dims'!$D$5)*(D43^1.5)</f>
        <v>4.1340626700733692E-2</v>
      </c>
      <c r="R43" s="3">
        <f t="shared" si="9"/>
        <v>655.26433191841386</v>
      </c>
      <c r="S43" s="9">
        <f t="shared" ref="S43:S50" si="16">Q43 * 35.3146667</f>
        <v>1.4599304531055308</v>
      </c>
    </row>
    <row r="44" spans="1:19" x14ac:dyDescent="0.25">
      <c r="A44">
        <f t="shared" si="12"/>
        <v>10.5</v>
      </c>
      <c r="B44">
        <f t="shared" si="0"/>
        <v>10.5</v>
      </c>
      <c r="C44" s="3">
        <f t="shared" si="1"/>
        <v>0.26669999999999999</v>
      </c>
      <c r="D44" s="3">
        <f t="shared" si="2"/>
        <v>0.26750000000000002</v>
      </c>
      <c r="E44" s="3">
        <f>IF(C44&gt;'Weir dims'!$D$7, C44-'Weir dims'!$D$7, 0)</f>
        <v>0.21589999999999998</v>
      </c>
      <c r="F44" s="3">
        <f t="shared" si="3"/>
        <v>0.21669999999999998</v>
      </c>
      <c r="G44" s="11">
        <f>(8/15) * 'Weir dims'!$B$21 * ((2*9.81)^0.5)*(TAN(RADIANS('Weir dims'!$B$2)/2)) * ((D44^2.5) - (F44^2.5))</f>
        <v>2.0721447107885559E-2</v>
      </c>
      <c r="H44" s="11">
        <f>(2/3) * 'Weir dims'!$B$22 * ((2*9.81)^0.5) * ('Weir dims'!$D$4  + 'Weir dims'!$D$5) * (F44 ^1.5)</f>
        <v>3.1248586535583642E-2</v>
      </c>
      <c r="I44" s="3">
        <f t="shared" si="13"/>
        <v>5.6751276738668373E-2</v>
      </c>
      <c r="J44" s="3">
        <f t="shared" si="5"/>
        <v>899.52887523644097</v>
      </c>
      <c r="K44" s="9">
        <f t="shared" si="14"/>
        <v>2.0041524228255363</v>
      </c>
      <c r="L44" s="9"/>
      <c r="M44" s="11">
        <f>(8/15) * 'Weir dims'!$B$21 * ((2*9.81)^0.5)*(TAN(RADIANS('Weir dims'!$B$2)/2)) * (D44^2.5)</f>
        <v>5.0621645606363015E-2</v>
      </c>
      <c r="N44" s="3">
        <f t="shared" si="7"/>
        <v>802.37193860139234</v>
      </c>
      <c r="O44" s="9">
        <f t="shared" si="15"/>
        <v>1.7876865423942292</v>
      </c>
      <c r="Q44" s="11">
        <f>(2/3)*'Weir dims'!$B$22*((2*9.81)^0.5)*('Weir dims'!$D$4  + 'Weir dims'!$D$5)*(D44^1.5)</f>
        <v>4.2857584518898977E-2</v>
      </c>
      <c r="R44" s="3">
        <f t="shared" si="9"/>
        <v>679.30867837847495</v>
      </c>
      <c r="S44" s="9">
        <f t="shared" si="16"/>
        <v>1.513501312851997</v>
      </c>
    </row>
    <row r="45" spans="1:19" x14ac:dyDescent="0.25">
      <c r="A45">
        <f t="shared" si="12"/>
        <v>10.75</v>
      </c>
      <c r="B45">
        <f t="shared" si="0"/>
        <v>10.75</v>
      </c>
      <c r="C45" s="3">
        <f t="shared" si="1"/>
        <v>0.27305000000000001</v>
      </c>
      <c r="D45" s="3">
        <f t="shared" si="2"/>
        <v>0.27385000000000004</v>
      </c>
      <c r="E45" s="3">
        <f>IF(C45&gt;'Weir dims'!$D$7, C45-'Weir dims'!$D$7, 0)</f>
        <v>0.22225</v>
      </c>
      <c r="F45" s="3">
        <f t="shared" si="3"/>
        <v>0.22305</v>
      </c>
      <c r="G45" s="11">
        <f>(8/15) * 'Weir dims'!$B$21 * ((2*9.81)^0.5)*(TAN(RADIANS('Weir dims'!$B$2)/2)) * ((D45^2.5) - (F45^2.5))</f>
        <v>2.1540523846100015E-2</v>
      </c>
      <c r="H45" s="11">
        <f>(2/3) * 'Weir dims'!$B$22 * ((2*9.81)^0.5) * ('Weir dims'!$D$4  + 'Weir dims'!$D$5) * (F45 ^1.5)</f>
        <v>3.2632124714221764E-2</v>
      </c>
      <c r="I45" s="3">
        <f t="shared" si="13"/>
        <v>5.9156532227871386E-2</v>
      </c>
      <c r="J45" s="3">
        <f t="shared" si="5"/>
        <v>937.65307065890022</v>
      </c>
      <c r="K45" s="9">
        <f t="shared" si="14"/>
        <v>2.0890932187550861</v>
      </c>
      <c r="L45" s="9"/>
      <c r="M45" s="11">
        <f>(8/15) * 'Weir dims'!$B$21 * ((2*9.81)^0.5)*(TAN(RADIANS('Weir dims'!$B$2)/2)) * (D45^2.5)</f>
        <v>5.36795240309327E-2</v>
      </c>
      <c r="N45" s="3">
        <f t="shared" si="7"/>
        <v>850.84045064085365</v>
      </c>
      <c r="O45" s="9">
        <f t="shared" si="15"/>
        <v>1.8956744997670285</v>
      </c>
      <c r="Q45" s="11">
        <f>(2/3)*'Weir dims'!$B$22*((2*9.81)^0.5)*('Weir dims'!$D$4  + 'Weir dims'!$D$5)*(D45^1.5)</f>
        <v>4.4392655910214782E-2</v>
      </c>
      <c r="R45" s="3">
        <f t="shared" si="9"/>
        <v>703.6401317199834</v>
      </c>
      <c r="S45" s="9">
        <f t="shared" si="16"/>
        <v>1.56771184739702</v>
      </c>
    </row>
    <row r="46" spans="1:19" x14ac:dyDescent="0.25">
      <c r="A46">
        <f t="shared" si="12"/>
        <v>11</v>
      </c>
      <c r="B46">
        <f t="shared" si="0"/>
        <v>11</v>
      </c>
      <c r="C46" s="3">
        <f t="shared" si="1"/>
        <v>0.27939999999999998</v>
      </c>
      <c r="D46" s="3">
        <f t="shared" si="2"/>
        <v>0.2802</v>
      </c>
      <c r="E46" s="3">
        <f>IF(C46&gt;'Weir dims'!$D$7, C46-'Weir dims'!$D$7, 0)</f>
        <v>0.22859999999999997</v>
      </c>
      <c r="F46" s="3">
        <f t="shared" si="3"/>
        <v>0.22939999999999997</v>
      </c>
      <c r="G46" s="11">
        <f>(8/15) * 'Weir dims'!$B$21 * ((2*9.81)^0.5)*(TAN(RADIANS('Weir dims'!$B$2)/2)) * ((D46^2.5) - (F46^2.5))</f>
        <v>2.2370154347418222E-2</v>
      </c>
      <c r="H46" s="11">
        <f>(2/3) * 'Weir dims'!$B$22 * ((2*9.81)^0.5) * ('Weir dims'!$D$4  + 'Weir dims'!$D$5) * (F46 ^1.5)</f>
        <v>3.4035499692865602E-2</v>
      </c>
      <c r="I46" s="3">
        <f t="shared" si="13"/>
        <v>6.1594974211989943E-2</v>
      </c>
      <c r="J46" s="3">
        <f t="shared" si="5"/>
        <v>976.30328438720107</v>
      </c>
      <c r="K46" s="9">
        <f t="shared" si="14"/>
        <v>2.1752059846915199</v>
      </c>
      <c r="L46" s="9"/>
      <c r="M46" s="11">
        <f>(8/15) * 'Weir dims'!$B$21 * ((2*9.81)^0.5)*(TAN(RADIANS('Weir dims'!$B$2)/2)) * (D46^2.5)</f>
        <v>5.6845634788253344E-2</v>
      </c>
      <c r="N46" s="3">
        <f t="shared" si="7"/>
        <v>901.02448546920311</v>
      </c>
      <c r="O46" s="9">
        <f t="shared" si="15"/>
        <v>2.0074846458970916</v>
      </c>
      <c r="Q46" s="11">
        <f>(2/3)*'Weir dims'!$B$22*((2*9.81)^0.5)*('Weir dims'!$D$4  + 'Weir dims'!$D$5)*(D46^1.5)</f>
        <v>4.5945629606392015E-2</v>
      </c>
      <c r="R46" s="3">
        <f t="shared" si="9"/>
        <v>728.25534326186323</v>
      </c>
      <c r="S46" s="9">
        <f t="shared" si="16"/>
        <v>1.6225545958713861</v>
      </c>
    </row>
    <row r="47" spans="1:19" x14ac:dyDescent="0.25">
      <c r="A47">
        <f t="shared" si="12"/>
        <v>11.25</v>
      </c>
      <c r="B47">
        <f t="shared" si="0"/>
        <v>11.25</v>
      </c>
      <c r="C47" s="3">
        <f t="shared" si="1"/>
        <v>0.28575</v>
      </c>
      <c r="D47" s="3">
        <f t="shared" si="2"/>
        <v>0.28655000000000003</v>
      </c>
      <c r="E47" s="3">
        <f>IF(C47&gt;'Weir dims'!$D$7, C47-'Weir dims'!$D$7, 0)</f>
        <v>0.23494999999999999</v>
      </c>
      <c r="F47" s="3">
        <f t="shared" si="3"/>
        <v>0.23574999999999999</v>
      </c>
      <c r="G47" s="11">
        <f>(8/15) * 'Weir dims'!$B$21 * ((2*9.81)^0.5)*(TAN(RADIANS('Weir dims'!$B$2)/2)) * ((D47^2.5) - (F47^2.5))</f>
        <v>2.3210205577439257E-2</v>
      </c>
      <c r="H47" s="11">
        <f>(2/3) * 'Weir dims'!$B$22 * ((2*9.81)^0.5) * ('Weir dims'!$D$4  + 'Weir dims'!$D$5) * (F47 ^1.5)</f>
        <v>3.545843494038238E-2</v>
      </c>
      <c r="I47" s="3">
        <f t="shared" si="13"/>
        <v>6.4066155445461237E-2</v>
      </c>
      <c r="J47" s="3">
        <f t="shared" si="5"/>
        <v>1015.4724274125813</v>
      </c>
      <c r="K47" s="9">
        <f t="shared" si="14"/>
        <v>2.2624749263068535</v>
      </c>
      <c r="L47" s="9"/>
      <c r="M47" s="11">
        <f>(8/15) * 'Weir dims'!$B$21 * ((2*9.81)^0.5)*(TAN(RADIANS('Weir dims'!$B$2)/2)) * (D47^2.5)</f>
        <v>6.0121225581145493E-2</v>
      </c>
      <c r="N47" s="3">
        <f t="shared" si="7"/>
        <v>952.94381964089553</v>
      </c>
      <c r="O47" s="9">
        <f t="shared" si="15"/>
        <v>2.1231610429936665</v>
      </c>
      <c r="Q47" s="11">
        <f>(2/3)*'Weir dims'!$B$22*((2*9.81)^0.5)*('Weir dims'!$D$4  + 'Weir dims'!$D$5)*(D47^1.5)</f>
        <v>4.7516301563816692E-2</v>
      </c>
      <c r="R47" s="3">
        <f t="shared" si="9"/>
        <v>753.15107883682981</v>
      </c>
      <c r="S47" s="9">
        <f t="shared" si="16"/>
        <v>1.678022352542875</v>
      </c>
    </row>
    <row r="48" spans="1:19" x14ac:dyDescent="0.25">
      <c r="A48">
        <f t="shared" si="12"/>
        <v>11.5</v>
      </c>
      <c r="B48">
        <f t="shared" si="0"/>
        <v>11.5</v>
      </c>
      <c r="C48" s="3">
        <f t="shared" si="1"/>
        <v>0.29209999999999997</v>
      </c>
      <c r="D48" s="3">
        <f t="shared" si="2"/>
        <v>0.29289999999999999</v>
      </c>
      <c r="E48" s="3">
        <f>IF(C48&gt;'Weir dims'!$D$7, C48-'Weir dims'!$D$7, 0)</f>
        <v>0.24129999999999996</v>
      </c>
      <c r="F48" s="3">
        <f t="shared" si="3"/>
        <v>0.24209999999999995</v>
      </c>
      <c r="G48" s="11">
        <f>(8/15) * 'Weir dims'!$B$21 * ((2*9.81)^0.5)*(TAN(RADIANS('Weir dims'!$B$2)/2)) * ((D48^2.5) - (F48^2.5))</f>
        <v>2.4060549425324044E-2</v>
      </c>
      <c r="H48" s="11">
        <f>(2/3) * 'Weir dims'!$B$22 * ((2*9.81)^0.5) * ('Weir dims'!$D$4  + 'Weir dims'!$D$5) * (F48 ^1.5)</f>
        <v>3.6900665178465637E-2</v>
      </c>
      <c r="I48" s="3">
        <f t="shared" si="13"/>
        <v>6.6569646347338335E-2</v>
      </c>
      <c r="J48" s="3">
        <f t="shared" si="5"/>
        <v>1055.15369071702</v>
      </c>
      <c r="K48" s="9">
        <f t="shared" si="14"/>
        <v>2.3508848730931255</v>
      </c>
      <c r="L48" s="9"/>
      <c r="M48" s="11">
        <f>(8/15) * 'Weir dims'!$B$21 * ((2*9.81)^0.5)*(TAN(RADIANS('Weir dims'!$B$2)/2)) * (D48^2.5)</f>
        <v>6.3507530050975244E-2</v>
      </c>
      <c r="N48" s="3">
        <f t="shared" si="7"/>
        <v>1006.6180068310948</v>
      </c>
      <c r="O48" s="9">
        <f t="shared" si="15"/>
        <v>2.2427472566904245</v>
      </c>
      <c r="Q48" s="11">
        <f>(2/3)*'Weir dims'!$B$22*((2*9.81)^0.5)*('Weir dims'!$D$4  + 'Weir dims'!$D$5)*(D48^1.5)</f>
        <v>4.910447456091966E-2</v>
      </c>
      <c r="R48" s="3">
        <f t="shared" si="9"/>
        <v>778.32421240955023</v>
      </c>
      <c r="S48" s="9">
        <f t="shared" si="16"/>
        <v>1.7341081525975064</v>
      </c>
    </row>
    <row r="49" spans="1:19" x14ac:dyDescent="0.25">
      <c r="A49">
        <f t="shared" si="12"/>
        <v>11.75</v>
      </c>
      <c r="B49">
        <f t="shared" si="0"/>
        <v>11.75</v>
      </c>
      <c r="C49" s="3">
        <f t="shared" si="1"/>
        <v>0.29844999999999999</v>
      </c>
      <c r="D49" s="3">
        <f t="shared" si="2"/>
        <v>0.29925000000000002</v>
      </c>
      <c r="E49" s="3">
        <f>IF(C49&gt;'Weir dims'!$D$7, C49-'Weir dims'!$D$7, 0)</f>
        <v>0.24764999999999998</v>
      </c>
      <c r="F49" s="3">
        <f t="shared" si="3"/>
        <v>0.24844999999999998</v>
      </c>
      <c r="G49" s="11">
        <f>(8/15) * 'Weir dims'!$B$21 * ((2*9.81)^0.5)*(TAN(RADIANS('Weir dims'!$B$2)/2)) * ((D49^2.5) - (F49^2.5))</f>
        <v>2.4921062406467347E-2</v>
      </c>
      <c r="H49" s="11">
        <f>(2/3) * 'Weir dims'!$B$22 * ((2*9.81)^0.5) * ('Weir dims'!$D$4  + 'Weir dims'!$D$5) * (F49 ^1.5)</f>
        <v>3.8361935638502674E-2</v>
      </c>
      <c r="I49" s="3">
        <f t="shared" si="13"/>
        <v>6.9105033865107274E-2</v>
      </c>
      <c r="J49" s="3">
        <f t="shared" si="5"/>
        <v>1095.3405272643156</v>
      </c>
      <c r="K49" s="9">
        <f t="shared" si="14"/>
        <v>2.4404212382384758</v>
      </c>
      <c r="L49" s="9"/>
      <c r="M49" s="11">
        <f>(8/15) * 'Weir dims'!$B$21 * ((2*9.81)^0.5)*(TAN(RADIANS('Weir dims'!$B$2)/2)) * (D49^2.5)</f>
        <v>6.7005768242653405E-2</v>
      </c>
      <c r="N49" s="3">
        <f t="shared" si="7"/>
        <v>1062.0663852060841</v>
      </c>
      <c r="O49" s="9">
        <f t="shared" si="15"/>
        <v>2.3662863724667496</v>
      </c>
      <c r="Q49" s="11">
        <f>(2/3)*'Weir dims'!$B$22*((2*9.81)^0.5)*('Weir dims'!$D$4  + 'Weir dims'!$D$5)*(D49^1.5)</f>
        <v>5.070995782627865E-2</v>
      </c>
      <c r="R49" s="3">
        <f t="shared" si="9"/>
        <v>803.77172018192221</v>
      </c>
      <c r="S49" s="9">
        <f t="shared" si="16"/>
        <v>1.7908052590060868</v>
      </c>
    </row>
    <row r="50" spans="1:19" x14ac:dyDescent="0.25">
      <c r="A50">
        <f t="shared" si="12"/>
        <v>12</v>
      </c>
      <c r="B50">
        <f t="shared" si="0"/>
        <v>12</v>
      </c>
      <c r="C50" s="3">
        <f t="shared" si="1"/>
        <v>0.30479999999999996</v>
      </c>
      <c r="D50" s="3">
        <f t="shared" si="2"/>
        <v>0.30559999999999998</v>
      </c>
      <c r="E50" s="3">
        <f>IF(C50&gt;'Weir dims'!$D$7, C50-'Weir dims'!$D$7, 0)</f>
        <v>0.25399999999999995</v>
      </c>
      <c r="F50" s="3">
        <f t="shared" si="3"/>
        <v>0.25479999999999997</v>
      </c>
      <c r="G50" s="11">
        <f>(8/15) * 'Weir dims'!$B$21 * ((2*9.81)^0.5)*(TAN(RADIANS('Weir dims'!$B$2)/2)) * ((D50^2.5) - (F50^2.5))</f>
        <v>2.5791625389788429E-2</v>
      </c>
      <c r="H50" s="11">
        <f>(2/3) * 'Weir dims'!$B$22 * ((2*9.81)^0.5) * ('Weir dims'!$D$4  + 'Weir dims'!$D$5) * (F50 ^1.5)</f>
        <v>3.9842001385389667E-2</v>
      </c>
      <c r="I50" s="3">
        <f t="shared" si="13"/>
        <v>7.1671920438494477E-2</v>
      </c>
      <c r="J50" s="3">
        <f t="shared" si="5"/>
        <v>1136.0266355760471</v>
      </c>
      <c r="K50" s="9">
        <f t="shared" si="14"/>
        <v>2.5310699820343499</v>
      </c>
      <c r="L50" s="9"/>
      <c r="M50" s="11">
        <f>(8/15) * 'Weir dims'!$B$21 * ((2*9.81)^0.5)*(TAN(RADIANS('Weir dims'!$B$2)/2)) * (D50^2.5)</f>
        <v>7.0617147044555184E-2</v>
      </c>
      <c r="N50" s="3">
        <f t="shared" si="7"/>
        <v>1119.308084396157</v>
      </c>
      <c r="O50" s="9">
        <f t="shared" si="15"/>
        <v>2.4938210111833561</v>
      </c>
      <c r="Q50" s="11">
        <f>(2/3)*'Weir dims'!$B$22*((2*9.81)^0.5)*('Weir dims'!$D$4  + 'Weir dims'!$D$5)*(D50^1.5)</f>
        <v>5.2332566694500107E-2</v>
      </c>
      <c r="R50" s="3">
        <f t="shared" si="9"/>
        <v>829.49067513867328</v>
      </c>
      <c r="S50" s="9">
        <f t="shared" si="16"/>
        <v>1.8481071503717919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74DE-C49A-4055-A6D1-F1D36D21BFA8}">
  <dimension ref="A1:S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RowHeight="15" x14ac:dyDescent="0.25"/>
  <cols>
    <col min="6" max="6" width="12.28515625" customWidth="1"/>
    <col min="7" max="7" width="18.28515625" bestFit="1" customWidth="1"/>
    <col min="8" max="8" width="20.5703125" bestFit="1" customWidth="1"/>
    <col min="9" max="9" width="11.5703125" bestFit="1" customWidth="1"/>
    <col min="13" max="13" width="19.5703125" customWidth="1"/>
    <col min="17" max="17" width="29.42578125" style="11" customWidth="1"/>
  </cols>
  <sheetData>
    <row r="1" spans="1:19" x14ac:dyDescent="0.25">
      <c r="A1" s="2" t="s">
        <v>2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10" t="s">
        <v>23</v>
      </c>
      <c r="H1" s="10" t="s">
        <v>25</v>
      </c>
      <c r="I1" s="10" t="s">
        <v>22</v>
      </c>
      <c r="J1" s="2" t="s">
        <v>26</v>
      </c>
      <c r="K1" s="8" t="s">
        <v>27</v>
      </c>
      <c r="L1" s="8"/>
      <c r="M1" t="s">
        <v>29</v>
      </c>
      <c r="N1" t="s">
        <v>30</v>
      </c>
      <c r="O1" t="s">
        <v>31</v>
      </c>
      <c r="Q1" s="11" t="s">
        <v>32</v>
      </c>
      <c r="R1" t="s">
        <v>30</v>
      </c>
      <c r="S1" t="s">
        <v>31</v>
      </c>
    </row>
    <row r="2" spans="1:19" x14ac:dyDescent="0.25">
      <c r="A2">
        <v>0</v>
      </c>
      <c r="B2">
        <f>IF(A2&gt;=0,A2,0)</f>
        <v>0</v>
      </c>
      <c r="C2" s="3">
        <f>B2*0.0254</f>
        <v>0</v>
      </c>
      <c r="D2" s="3">
        <f>IF(C2&gt;0, C2+0.0008, 0)</f>
        <v>0</v>
      </c>
      <c r="E2" s="3">
        <f>IF(C2&gt;'Weir dims'!$D$7, C2-'Weir dims'!$D$7, 0)</f>
        <v>0</v>
      </c>
      <c r="F2" s="3">
        <f>IF(E2&gt;0, E2+0.0008, 0)</f>
        <v>0</v>
      </c>
      <c r="G2" s="11">
        <f>(8/15) * 'Weir dims'!$B$21 * ((2*9.81)^0.5)*(TAN(RADIANS(90)/2)) * ((D2^2.5) - (F2^2.5))</f>
        <v>0</v>
      </c>
      <c r="H2" s="11">
        <f>(2/3) * 'Weir dims'!$B$22 * ((2*9.81)^0.5) * ('Weir dims'!$D$4  + 'Weir dims'!$D$5+(2*'Weir dims'!$D$8)) * (F2 ^1.5)</f>
        <v>0</v>
      </c>
      <c r="I2" s="3">
        <f xml:space="preserve"> IF(H2&gt;0, ( G2+H2 ) * 1.092, G2)</f>
        <v>0</v>
      </c>
      <c r="J2" s="3">
        <f>I2 * 15850.372483753</f>
        <v>0</v>
      </c>
      <c r="K2" s="9">
        <f>I2 * 35.3146667</f>
        <v>0</v>
      </c>
      <c r="L2" s="9"/>
      <c r="M2" s="11">
        <f>(8/15) * 'Weir dims'!$B$21 * ((2*9.81)^0.5)*(TAN(RADIANS(90)/2)) * (D2^2.5)</f>
        <v>0</v>
      </c>
      <c r="N2" s="3">
        <f>M2 * 15850.372483753</f>
        <v>0</v>
      </c>
      <c r="O2" s="9">
        <f>M2 * 35.3146667</f>
        <v>0</v>
      </c>
      <c r="Q2" s="11">
        <f>(2/3)*'Weir dims'!$B$22*((2*9.81)^0.5)*('Weir dims'!$D$4+'Weir dims'!$D$5+(2*'Weir dims'!$D$8))*(D2^1.5)</f>
        <v>0</v>
      </c>
      <c r="R2" s="3">
        <f>Q2 * 15850.372483753</f>
        <v>0</v>
      </c>
      <c r="S2" s="9">
        <f>Q2 * 35.3146667</f>
        <v>0</v>
      </c>
    </row>
    <row r="3" spans="1:19" x14ac:dyDescent="0.25">
      <c r="A3">
        <f>A2+0.25</f>
        <v>0.25</v>
      </c>
      <c r="B3">
        <f t="shared" ref="B3:B50" si="0">IF(A3&gt;=0,A3,0)</f>
        <v>0.25</v>
      </c>
      <c r="C3" s="3">
        <f t="shared" ref="C3:C50" si="1">B3*0.0254</f>
        <v>6.3499999999999997E-3</v>
      </c>
      <c r="D3" s="3">
        <f t="shared" ref="D3:D50" si="2">IF(C3&gt;0, C3+0.0008, 0)</f>
        <v>7.1500000000000001E-3</v>
      </c>
      <c r="E3" s="3">
        <f>IF(C3&gt;'Weir dims'!$D$7, C3-'Weir dims'!$D$7, 0)</f>
        <v>0</v>
      </c>
      <c r="F3" s="3">
        <f t="shared" ref="F3:F50" si="3">IF(E3&gt;0, E3+0.0008, 0)</f>
        <v>0</v>
      </c>
      <c r="G3" s="11">
        <f>(8/15) * 'Weir dims'!$B$21 * ((2*9.81)^0.5)*(TAN(RADIANS(90)/2)) * ((D3^2.5) - (F3^2.5))</f>
        <v>5.9127824154906445E-6</v>
      </c>
      <c r="H3" s="11">
        <f>(2/3) * 'Weir dims'!$B$22 * ((2*9.81)^0.5) * ('Weir dims'!$D$4  + 'Weir dims'!$D$5+(2*'Weir dims'!$D$8)) * (F3 ^1.5)</f>
        <v>0</v>
      </c>
      <c r="I3" s="3">
        <f t="shared" ref="I3:I50" si="4" xml:space="preserve"> IF(H3&gt;0, ( G3+H3 ) * 1.092, G3)</f>
        <v>5.9127824154906445E-6</v>
      </c>
      <c r="J3" s="3">
        <f t="shared" ref="J3:J50" si="5">I3 * 15850.372483753</f>
        <v>9.3719803700911514E-2</v>
      </c>
      <c r="K3" s="9">
        <f t="shared" ref="K3:K50" si="6">I3 * 35.3146667</f>
        <v>2.0880794027267302E-4</v>
      </c>
      <c r="L3" s="9"/>
      <c r="M3" s="11">
        <f>(8/15) * 'Weir dims'!$B$21 * ((2*9.81)^0.5)*(TAN(RADIANS(90)/2)) * (D3^2.5)</f>
        <v>5.9127824154906445E-6</v>
      </c>
      <c r="N3" s="3">
        <f t="shared" ref="N3:N50" si="7">M3 * 15850.372483753</f>
        <v>9.3719803700911514E-2</v>
      </c>
      <c r="O3" s="9">
        <f t="shared" ref="O3:O50" si="8">M3 * 35.3146667</f>
        <v>2.0880794027267302E-4</v>
      </c>
      <c r="Q3" s="11">
        <f>(2/3)*'Weir dims'!$B$22*((2*9.81)^0.5)*('Weir dims'!$D$4+'Weir dims'!$D$5+(2*'Weir dims'!$D$8))*(D3^1.5)</f>
        <v>4.0132322402325696E-4</v>
      </c>
      <c r="R3" s="3">
        <f t="shared" ref="R3:R50" si="9">Q3 * 15850.372483753</f>
        <v>6.3611225871492731</v>
      </c>
      <c r="S3" s="9">
        <f t="shared" ref="S3:S50" si="10">Q3 * 35.3146667</f>
        <v>1.4172595895350752E-2</v>
      </c>
    </row>
    <row r="4" spans="1:19" x14ac:dyDescent="0.25">
      <c r="A4">
        <f t="shared" ref="A4:A50" si="11">A3+0.25</f>
        <v>0.5</v>
      </c>
      <c r="B4">
        <f t="shared" si="0"/>
        <v>0.5</v>
      </c>
      <c r="C4" s="3">
        <f t="shared" si="1"/>
        <v>1.2699999999999999E-2</v>
      </c>
      <c r="D4" s="3">
        <f t="shared" si="2"/>
        <v>1.35E-2</v>
      </c>
      <c r="E4" s="3">
        <f>IF(C4&gt;'Weir dims'!$D$7, C4-'Weir dims'!$D$7, 0)</f>
        <v>0</v>
      </c>
      <c r="F4" s="3">
        <f t="shared" si="3"/>
        <v>0</v>
      </c>
      <c r="G4" s="11">
        <f>(8/15) * 'Weir dims'!$B$21 * ((2*9.81)^0.5)*(TAN(RADIANS(90)/2)) * ((D4^2.5) - (F4^2.5))</f>
        <v>2.8964178442841625E-5</v>
      </c>
      <c r="H4" s="11">
        <f>(2/3) * 'Weir dims'!$B$22 * ((2*9.81)^0.5) * ('Weir dims'!$D$4  + 'Weir dims'!$D$5+(2*'Weir dims'!$D$8)) * (F4 ^1.5)</f>
        <v>0</v>
      </c>
      <c r="I4" s="3">
        <f t="shared" si="4"/>
        <v>2.8964178442841625E-5</v>
      </c>
      <c r="J4" s="3">
        <f t="shared" si="5"/>
        <v>0.45909301700492872</v>
      </c>
      <c r="K4" s="9">
        <f t="shared" si="6"/>
        <v>1.0228603079482769E-3</v>
      </c>
      <c r="L4" s="9"/>
      <c r="M4" s="11">
        <f>(8/15) * 'Weir dims'!$B$21 * ((2*9.81)^0.5)*(TAN(RADIANS(90)/2)) * (D4^2.5)</f>
        <v>2.8964178442841625E-5</v>
      </c>
      <c r="N4" s="3">
        <f t="shared" si="7"/>
        <v>0.45909301700492872</v>
      </c>
      <c r="O4" s="9">
        <f t="shared" si="8"/>
        <v>1.0228603079482769E-3</v>
      </c>
      <c r="Q4" s="11">
        <f>(2/3)*'Weir dims'!$B$22*((2*9.81)^0.5)*('Weir dims'!$D$4+'Weir dims'!$D$5+(2*'Weir dims'!$D$8))*(D4^1.5)</f>
        <v>1.041204131031532E-3</v>
      </c>
      <c r="R4" s="3">
        <f t="shared" si="9"/>
        <v>16.503473308472149</v>
      </c>
      <c r="S4" s="9">
        <f t="shared" si="10"/>
        <v>3.6769776854041675E-2</v>
      </c>
    </row>
    <row r="5" spans="1:19" x14ac:dyDescent="0.25">
      <c r="A5">
        <f t="shared" si="11"/>
        <v>0.75</v>
      </c>
      <c r="B5">
        <f t="shared" si="0"/>
        <v>0.75</v>
      </c>
      <c r="C5" s="3">
        <f t="shared" si="1"/>
        <v>1.9049999999999997E-2</v>
      </c>
      <c r="D5" s="3">
        <f t="shared" si="2"/>
        <v>1.9849999999999996E-2</v>
      </c>
      <c r="E5" s="3">
        <f>IF(C5&gt;'Weir dims'!$D$7, C5-'Weir dims'!$D$7, 0)</f>
        <v>0</v>
      </c>
      <c r="F5" s="3">
        <f t="shared" si="3"/>
        <v>0</v>
      </c>
      <c r="G5" s="11">
        <f>(8/15) * 'Weir dims'!$B$21 * ((2*9.81)^0.5)*(TAN(RADIANS(90)/2)) * ((D5^2.5) - (F5^2.5))</f>
        <v>7.5932565061525502E-5</v>
      </c>
      <c r="H5" s="11">
        <f>(2/3) * 'Weir dims'!$B$22 * ((2*9.81)^0.5) * ('Weir dims'!$D$4  + 'Weir dims'!$D$5+(2*'Weir dims'!$D$8)) * (F5 ^1.5)</f>
        <v>0</v>
      </c>
      <c r="I5" s="3">
        <f t="shared" si="4"/>
        <v>7.5932565061525502E-5</v>
      </c>
      <c r="J5" s="3">
        <f t="shared" si="5"/>
        <v>1.2035594398719882</v>
      </c>
      <c r="K5" s="9">
        <f t="shared" si="6"/>
        <v>2.6815332268238378E-3</v>
      </c>
      <c r="L5" s="9"/>
      <c r="M5" s="11">
        <f>(8/15) * 'Weir dims'!$B$21 * ((2*9.81)^0.5)*(TAN(RADIANS(90)/2)) * (D5^2.5)</f>
        <v>7.5932565061525502E-5</v>
      </c>
      <c r="N5" s="3">
        <f t="shared" si="7"/>
        <v>1.2035594398719882</v>
      </c>
      <c r="O5" s="9">
        <f t="shared" si="8"/>
        <v>2.6815332268238378E-3</v>
      </c>
      <c r="Q5" s="11">
        <f>(2/3)*'Weir dims'!$B$22*((2*9.81)^0.5)*('Weir dims'!$D$4+'Weir dims'!$D$5+(2*'Weir dims'!$D$8))*(D5^1.5)</f>
        <v>1.8564189647942817E-3</v>
      </c>
      <c r="R5" s="3">
        <f t="shared" si="9"/>
        <v>29.424932077892514</v>
      </c>
      <c r="S5" s="9">
        <f t="shared" si="10"/>
        <v>6.5558816997269079E-2</v>
      </c>
    </row>
    <row r="6" spans="1:19" x14ac:dyDescent="0.25">
      <c r="A6">
        <f t="shared" si="11"/>
        <v>1</v>
      </c>
      <c r="B6">
        <f t="shared" si="0"/>
        <v>1</v>
      </c>
      <c r="C6" s="3">
        <f t="shared" si="1"/>
        <v>2.5399999999999999E-2</v>
      </c>
      <c r="D6" s="3">
        <f t="shared" si="2"/>
        <v>2.6199999999999998E-2</v>
      </c>
      <c r="E6" s="3">
        <f>IF(C6&gt;'Weir dims'!$D$7, C6-'Weir dims'!$D$7, 0)</f>
        <v>0</v>
      </c>
      <c r="F6" s="3">
        <f t="shared" si="3"/>
        <v>0</v>
      </c>
      <c r="G6" s="11">
        <f>(8/15) * 'Weir dims'!$B$21 * ((2*9.81)^0.5)*(TAN(RADIANS(90)/2)) * ((D6^2.5) - (F6^2.5))</f>
        <v>1.519777538163362E-4</v>
      </c>
      <c r="H6" s="11">
        <f>(2/3) * 'Weir dims'!$B$22 * ((2*9.81)^0.5) * ('Weir dims'!$D$4  + 'Weir dims'!$D$5+(2*'Weir dims'!$D$8)) * (F6 ^1.5)</f>
        <v>0</v>
      </c>
      <c r="I6" s="3">
        <f t="shared" si="4"/>
        <v>1.519777538163362E-4</v>
      </c>
      <c r="J6" s="3">
        <f t="shared" si="5"/>
        <v>2.4089040072330428</v>
      </c>
      <c r="K6" s="9">
        <f t="shared" si="6"/>
        <v>5.3670437218385656E-3</v>
      </c>
      <c r="L6" s="9"/>
      <c r="M6" s="11">
        <f>(8/15) * 'Weir dims'!$B$21 * ((2*9.81)^0.5)*(TAN(RADIANS(90)/2)) * (D6^2.5)</f>
        <v>1.519777538163362E-4</v>
      </c>
      <c r="N6" s="3">
        <f t="shared" si="7"/>
        <v>2.4089040072330428</v>
      </c>
      <c r="O6" s="9">
        <f t="shared" si="8"/>
        <v>5.3670437218385656E-3</v>
      </c>
      <c r="Q6" s="11">
        <f>(2/3)*'Weir dims'!$B$22*((2*9.81)^0.5)*('Weir dims'!$D$4+'Weir dims'!$D$5+(2*'Weir dims'!$D$8))*(D6^1.5)</f>
        <v>2.8150568300483745E-3</v>
      </c>
      <c r="R6" s="3">
        <f t="shared" si="9"/>
        <v>44.619699319199704</v>
      </c>
      <c r="S6" s="9">
        <f t="shared" si="10"/>
        <v>9.9412793694716881E-2</v>
      </c>
    </row>
    <row r="7" spans="1:19" x14ac:dyDescent="0.25">
      <c r="A7">
        <f t="shared" si="11"/>
        <v>1.25</v>
      </c>
      <c r="B7">
        <f t="shared" si="0"/>
        <v>1.25</v>
      </c>
      <c r="C7" s="3">
        <f t="shared" si="1"/>
        <v>3.175E-2</v>
      </c>
      <c r="D7" s="3">
        <f t="shared" si="2"/>
        <v>3.2550000000000003E-2</v>
      </c>
      <c r="E7" s="3">
        <f>IF(C7&gt;'Weir dims'!$D$7, C7-'Weir dims'!$D$7, 0)</f>
        <v>0</v>
      </c>
      <c r="F7" s="3">
        <f t="shared" si="3"/>
        <v>0</v>
      </c>
      <c r="G7" s="11">
        <f>(8/15) * 'Weir dims'!$B$21 * ((2*9.81)^0.5)*(TAN(RADIANS(90)/2)) * ((D7^2.5) - (F7^2.5))</f>
        <v>2.6145940916610732E-4</v>
      </c>
      <c r="H7" s="11">
        <f>(2/3) * 'Weir dims'!$B$22 * ((2*9.81)^0.5) * ('Weir dims'!$D$4  + 'Weir dims'!$D$5+(2*'Weir dims'!$D$8)) * (F7 ^1.5)</f>
        <v>0</v>
      </c>
      <c r="I7" s="3">
        <f t="shared" si="4"/>
        <v>2.6145940916610732E-4</v>
      </c>
      <c r="J7" s="3">
        <f t="shared" si="5"/>
        <v>4.1442290246647842</v>
      </c>
      <c r="K7" s="9">
        <f t="shared" si="6"/>
        <v>9.2333518902800032E-3</v>
      </c>
      <c r="L7" s="9"/>
      <c r="M7" s="11">
        <f>(8/15) * 'Weir dims'!$B$21 * ((2*9.81)^0.5)*(TAN(RADIANS(90)/2)) * (D7^2.5)</f>
        <v>2.6145940916610732E-4</v>
      </c>
      <c r="N7" s="3">
        <f t="shared" si="7"/>
        <v>4.1442290246647842</v>
      </c>
      <c r="O7" s="9">
        <f t="shared" si="8"/>
        <v>9.2333518902800032E-3</v>
      </c>
      <c r="Q7" s="11">
        <f>(2/3)*'Weir dims'!$B$22*((2*9.81)^0.5)*('Weir dims'!$D$4+'Weir dims'!$D$5+(2*'Weir dims'!$D$8))*(D7^1.5)</f>
        <v>3.8981784756843634E-3</v>
      </c>
      <c r="R7" s="3">
        <f t="shared" si="9"/>
        <v>61.787580847745652</v>
      </c>
      <c r="S7" s="9">
        <f t="shared" si="10"/>
        <v>0.13766287360590734</v>
      </c>
    </row>
    <row r="8" spans="1:19" x14ac:dyDescent="0.25">
      <c r="A8">
        <f t="shared" si="11"/>
        <v>1.5</v>
      </c>
      <c r="B8">
        <f t="shared" si="0"/>
        <v>1.5</v>
      </c>
      <c r="C8" s="3">
        <f t="shared" si="1"/>
        <v>3.8099999999999995E-2</v>
      </c>
      <c r="D8" s="3">
        <f t="shared" si="2"/>
        <v>3.8899999999999997E-2</v>
      </c>
      <c r="E8" s="3">
        <f>IF(C8&gt;'Weir dims'!$D$7, C8-'Weir dims'!$D$7, 0)</f>
        <v>0</v>
      </c>
      <c r="F8" s="3">
        <f t="shared" si="3"/>
        <v>0</v>
      </c>
      <c r="G8" s="11">
        <f>(8/15) * 'Weir dims'!$B$21 * ((2*9.81)^0.5)*(TAN(RADIANS(90)/2)) * ((D8^2.5) - (F8^2.5))</f>
        <v>4.0822612683263682E-4</v>
      </c>
      <c r="H8" s="11">
        <f>(2/3) * 'Weir dims'!$B$22 * ((2*9.81)^0.5) * ('Weir dims'!$D$4  + 'Weir dims'!$D$5+(2*'Weir dims'!$D$8)) * (F8 ^1.5)</f>
        <v>0</v>
      </c>
      <c r="I8" s="3">
        <f t="shared" si="4"/>
        <v>4.0822612683263682E-4</v>
      </c>
      <c r="J8" s="3">
        <f t="shared" si="5"/>
        <v>6.4705361678970892</v>
      </c>
      <c r="K8" s="9">
        <f t="shared" si="6"/>
        <v>1.4416369607326495E-2</v>
      </c>
      <c r="L8" s="9"/>
      <c r="M8" s="11">
        <f>(8/15) * 'Weir dims'!$B$21 * ((2*9.81)^0.5)*(TAN(RADIANS(90)/2)) * (D8^2.5)</f>
        <v>4.0822612683263682E-4</v>
      </c>
      <c r="N8" s="3">
        <f t="shared" si="7"/>
        <v>6.4705361678970892</v>
      </c>
      <c r="O8" s="9">
        <f t="shared" si="8"/>
        <v>1.4416369607326495E-2</v>
      </c>
      <c r="Q8" s="11">
        <f>(2/3)*'Weir dims'!$B$22*((2*9.81)^0.5)*('Weir dims'!$D$4+'Weir dims'!$D$5+(2*'Weir dims'!$D$8))*(D8^1.5)</f>
        <v>5.0928353030171526E-3</v>
      </c>
      <c r="R8" s="3">
        <f t="shared" si="9"/>
        <v>80.723336551228954</v>
      </c>
      <c r="S8" s="9">
        <f t="shared" si="10"/>
        <v>0.17985178128404422</v>
      </c>
    </row>
    <row r="9" spans="1:19" x14ac:dyDescent="0.25">
      <c r="A9">
        <f t="shared" si="11"/>
        <v>1.75</v>
      </c>
      <c r="B9">
        <f t="shared" si="0"/>
        <v>1.75</v>
      </c>
      <c r="C9" s="3">
        <f t="shared" si="1"/>
        <v>4.4449999999999996E-2</v>
      </c>
      <c r="D9" s="3">
        <f t="shared" si="2"/>
        <v>4.5249999999999999E-2</v>
      </c>
      <c r="E9" s="3">
        <f>IF(C9&gt;'Weir dims'!$D$7, C9-'Weir dims'!$D$7, 0)</f>
        <v>0</v>
      </c>
      <c r="F9" s="3">
        <f t="shared" si="3"/>
        <v>0</v>
      </c>
      <c r="G9" s="11">
        <f>(8/15) * 'Weir dims'!$B$21 * ((2*9.81)^0.5)*(TAN(RADIANS(90)/2)) * ((D9^2.5) - (F9^2.5))</f>
        <v>5.9576262177184756E-4</v>
      </c>
      <c r="H9" s="11">
        <f>(2/3) * 'Weir dims'!$B$22 * ((2*9.81)^0.5) * ('Weir dims'!$D$4  + 'Weir dims'!$D$5+(2*'Weir dims'!$D$8)) * (F9 ^1.5)</f>
        <v>0</v>
      </c>
      <c r="I9" s="3">
        <f t="shared" si="4"/>
        <v>5.9576262177184756E-4</v>
      </c>
      <c r="J9" s="3">
        <f t="shared" si="5"/>
        <v>9.4430594669810386</v>
      </c>
      <c r="K9" s="9">
        <f t="shared" si="6"/>
        <v>2.1039158420190957E-2</v>
      </c>
      <c r="L9" s="9"/>
      <c r="M9" s="11">
        <f>(8/15) * 'Weir dims'!$B$21 * ((2*9.81)^0.5)*(TAN(RADIANS(90)/2)) * (D9^2.5)</f>
        <v>5.9576262177184756E-4</v>
      </c>
      <c r="N9" s="3">
        <f t="shared" si="7"/>
        <v>9.4430594669810386</v>
      </c>
      <c r="O9" s="9">
        <f t="shared" si="8"/>
        <v>2.1039158420190957E-2</v>
      </c>
      <c r="Q9" s="11">
        <f>(2/3)*'Weir dims'!$B$22*((2*9.81)^0.5)*('Weir dims'!$D$4+'Weir dims'!$D$5+(2*'Weir dims'!$D$8))*(D9^1.5)</f>
        <v>6.389444543750118E-3</v>
      </c>
      <c r="R9" s="3">
        <f t="shared" si="9"/>
        <v>101.27507598272261</v>
      </c>
      <c r="S9" s="9">
        <f t="shared" si="10"/>
        <v>0.22564110446066896</v>
      </c>
    </row>
    <row r="10" spans="1:19" x14ac:dyDescent="0.25">
      <c r="A10">
        <f t="shared" si="11"/>
        <v>2</v>
      </c>
      <c r="B10">
        <f t="shared" si="0"/>
        <v>2</v>
      </c>
      <c r="C10" s="3">
        <f t="shared" si="1"/>
        <v>5.0799999999999998E-2</v>
      </c>
      <c r="D10" s="3">
        <f t="shared" si="2"/>
        <v>5.16E-2</v>
      </c>
      <c r="E10" s="3">
        <f>IF(C10&gt;'Weir dims'!$D$7, C10-'Weir dims'!$D$7, 0)</f>
        <v>0</v>
      </c>
      <c r="F10" s="3">
        <f t="shared" si="3"/>
        <v>0</v>
      </c>
      <c r="G10" s="11">
        <f>(8/15) * 'Weir dims'!$B$21 * ((2*9.81)^0.5)*(TAN(RADIANS(90)/2)) * ((D10^2.5) - (F10^2.5))</f>
        <v>8.2727718484383063E-4</v>
      </c>
      <c r="H10" s="11">
        <f>(2/3) * 'Weir dims'!$B$22 * ((2*9.81)^0.5) * ('Weir dims'!$D$4  + 'Weir dims'!$D$5+(2*'Weir dims'!$D$8)) * (F10 ^1.5)</f>
        <v>0</v>
      </c>
      <c r="I10" s="3">
        <f t="shared" si="4"/>
        <v>8.2727718484383063E-4</v>
      </c>
      <c r="J10" s="3">
        <f t="shared" si="5"/>
        <v>13.112651527085298</v>
      </c>
      <c r="K10" s="9">
        <f t="shared" si="6"/>
        <v>2.9215018051274168E-2</v>
      </c>
      <c r="L10" s="9"/>
      <c r="M10" s="11">
        <f>(8/15) * 'Weir dims'!$B$21 * ((2*9.81)^0.5)*(TAN(RADIANS(90)/2)) * (D10^2.5)</f>
        <v>8.2727718484383063E-4</v>
      </c>
      <c r="N10" s="3">
        <f t="shared" si="7"/>
        <v>13.112651527085298</v>
      </c>
      <c r="O10" s="9">
        <f t="shared" si="8"/>
        <v>2.9215018051274168E-2</v>
      </c>
      <c r="Q10" s="11">
        <f>(2/3)*'Weir dims'!$B$22*((2*9.81)^0.5)*('Weir dims'!$D$4+'Weir dims'!$D$5+(2*'Weir dims'!$D$8))*(D10^1.5)</f>
        <v>7.7805407604766945E-3</v>
      </c>
      <c r="R10" s="3">
        <f t="shared" si="9"/>
        <v>123.32446917857844</v>
      </c>
      <c r="S10" s="9">
        <f t="shared" si="10"/>
        <v>0.27476720370199897</v>
      </c>
    </row>
    <row r="11" spans="1:19" x14ac:dyDescent="0.25">
      <c r="A11">
        <f t="shared" si="11"/>
        <v>2.25</v>
      </c>
      <c r="B11">
        <f t="shared" si="0"/>
        <v>2.25</v>
      </c>
      <c r="C11" s="3">
        <f t="shared" si="1"/>
        <v>5.7149999999999999E-2</v>
      </c>
      <c r="D11" s="3">
        <f t="shared" si="2"/>
        <v>5.7950000000000002E-2</v>
      </c>
      <c r="E11" s="3">
        <f>IF(C11&gt;'Weir dims'!$D$7, C11-'Weir dims'!$D$7, 0)</f>
        <v>6.3500000000000015E-3</v>
      </c>
      <c r="F11" s="3">
        <f t="shared" si="3"/>
        <v>7.1500000000000018E-3</v>
      </c>
      <c r="G11" s="11">
        <f>(8/15) * 'Weir dims'!$B$21 * ((2*9.81)^0.5)*(TAN(RADIANS(90)/2)) * ((D11^2.5) - (F11^2.5))</f>
        <v>1.0998459911506604E-3</v>
      </c>
      <c r="H11" s="11">
        <f>(2/3) * 'Weir dims'!$B$22 * ((2*9.81)^0.5) * ('Weir dims'!$D$4  + 'Weir dims'!$D$5+(2*'Weir dims'!$D$8)) * (F11 ^1.5)</f>
        <v>4.0132322402325728E-4</v>
      </c>
      <c r="I11" s="3">
        <f t="shared" si="4"/>
        <v>1.6392767829699181E-3</v>
      </c>
      <c r="J11" s="3">
        <f t="shared" si="5"/>
        <v>25.983147614041531</v>
      </c>
      <c r="K11" s="9">
        <f t="shared" si="6"/>
        <v>5.7890513219630887E-2</v>
      </c>
      <c r="L11" s="9"/>
      <c r="M11" s="11">
        <f>(8/15) * 'Weir dims'!$B$21 * ((2*9.81)^0.5)*(TAN(RADIANS(90)/2)) * (D11^2.5)</f>
        <v>1.1057587735661509E-3</v>
      </c>
      <c r="N11" s="3">
        <f t="shared" si="7"/>
        <v>17.526688438201383</v>
      </c>
      <c r="O11" s="9">
        <f t="shared" si="8"/>
        <v>3.9049502539089384E-2</v>
      </c>
      <c r="Q11" s="11">
        <f>(2/3)*'Weir dims'!$B$22*((2*9.81)^0.5)*('Weir dims'!$D$4+'Weir dims'!$D$5+(2*'Weir dims'!$D$8))*(D11^1.5)</f>
        <v>9.2600938927286502E-3</v>
      </c>
      <c r="R11" s="3">
        <f t="shared" si="9"/>
        <v>146.77593743427542</v>
      </c>
      <c r="S11" s="9">
        <f t="shared" si="10"/>
        <v>0.32701712943241779</v>
      </c>
    </row>
    <row r="12" spans="1:19" x14ac:dyDescent="0.25">
      <c r="A12">
        <f t="shared" si="11"/>
        <v>2.5</v>
      </c>
      <c r="B12">
        <f t="shared" si="0"/>
        <v>2.5</v>
      </c>
      <c r="C12" s="3">
        <f t="shared" si="1"/>
        <v>6.3500000000000001E-2</v>
      </c>
      <c r="D12" s="3">
        <f t="shared" si="2"/>
        <v>6.4299999999999996E-2</v>
      </c>
      <c r="E12" s="3">
        <f>IF(C12&gt;'Weir dims'!$D$7, C12-'Weir dims'!$D$7, 0)</f>
        <v>1.2700000000000003E-2</v>
      </c>
      <c r="F12" s="3">
        <f t="shared" si="3"/>
        <v>1.3500000000000003E-2</v>
      </c>
      <c r="G12" s="11">
        <f>(8/15) * 'Weir dims'!$B$21 * ((2*9.81)^0.5)*(TAN(RADIANS(90)/2)) * ((D12^2.5) - (F12^2.5))</f>
        <v>1.4050525760742265E-3</v>
      </c>
      <c r="H12" s="11">
        <f>(2/3) * 'Weir dims'!$B$22 * ((2*9.81)^0.5) * ('Weir dims'!$D$4  + 'Weir dims'!$D$5+(2*'Weir dims'!$D$8)) * (F12 ^1.5)</f>
        <v>1.041204131031532E-3</v>
      </c>
      <c r="I12" s="3">
        <f t="shared" si="4"/>
        <v>2.6713123241594882E-3</v>
      </c>
      <c r="J12" s="3">
        <f t="shared" si="5"/>
        <v>42.34129535836783</v>
      </c>
      <c r="K12" s="9">
        <f t="shared" si="6"/>
        <v>9.4336504379294681E-2</v>
      </c>
      <c r="L12" s="9"/>
      <c r="M12" s="11">
        <f>(8/15) * 'Weir dims'!$B$21 * ((2*9.81)^0.5)*(TAN(RADIANS(90)/2)) * (D12^2.5)</f>
        <v>1.4340167545170682E-3</v>
      </c>
      <c r="N12" s="3">
        <f t="shared" si="7"/>
        <v>22.729699707038119</v>
      </c>
      <c r="O12" s="9">
        <f t="shared" si="8"/>
        <v>5.064182372798598E-2</v>
      </c>
      <c r="Q12" s="11">
        <f>(2/3)*'Weir dims'!$B$22*((2*9.81)^0.5)*('Weir dims'!$D$4+'Weir dims'!$D$5+(2*'Weir dims'!$D$8))*(D12^1.5)</f>
        <v>1.0823100449637394E-2</v>
      </c>
      <c r="R12" s="3">
        <f t="shared" si="9"/>
        <v>171.55017355582729</v>
      </c>
      <c r="S12" s="9">
        <f t="shared" si="10"/>
        <v>0.38221418503956467</v>
      </c>
    </row>
    <row r="13" spans="1:19" x14ac:dyDescent="0.25">
      <c r="A13">
        <f t="shared" si="11"/>
        <v>2.75</v>
      </c>
      <c r="B13">
        <f t="shared" si="0"/>
        <v>2.75</v>
      </c>
      <c r="C13" s="3">
        <f t="shared" si="1"/>
        <v>6.9849999999999995E-2</v>
      </c>
      <c r="D13" s="3">
        <f t="shared" si="2"/>
        <v>7.0649999999999991E-2</v>
      </c>
      <c r="E13" s="3">
        <f>IF(C13&gt;'Weir dims'!$D$7, C13-'Weir dims'!$D$7, 0)</f>
        <v>1.9049999999999997E-2</v>
      </c>
      <c r="F13" s="3">
        <f t="shared" si="3"/>
        <v>1.9849999999999996E-2</v>
      </c>
      <c r="G13" s="11">
        <f>(8/15) * 'Weir dims'!$B$21 * ((2*9.81)^0.5)*(TAN(RADIANS(90)/2)) * ((D13^2.5) - (F13^2.5))</f>
        <v>1.7387773355901103E-3</v>
      </c>
      <c r="H13" s="11">
        <f>(2/3) * 'Weir dims'!$B$22 * ((2*9.81)^0.5) * ('Weir dims'!$D$4  + 'Weir dims'!$D$5+(2*'Weir dims'!$D$8)) * (F13 ^1.5)</f>
        <v>1.8564189647942817E-3</v>
      </c>
      <c r="I13" s="3">
        <f t="shared" si="4"/>
        <v>3.9259543600197559E-3</v>
      </c>
      <c r="J13" s="3">
        <f t="shared" si="5"/>
        <v>62.227838960527258</v>
      </c>
      <c r="K13" s="9">
        <f t="shared" si="6"/>
        <v>0.13864376970350947</v>
      </c>
      <c r="L13" s="9"/>
      <c r="M13" s="11">
        <f>(8/15) * 'Weir dims'!$B$21 * ((2*9.81)^0.5)*(TAN(RADIANS(90)/2)) * (D13^2.5)</f>
        <v>1.8147099006516358E-3</v>
      </c>
      <c r="N13" s="3">
        <f t="shared" si="7"/>
        <v>28.763827875282828</v>
      </c>
      <c r="O13" s="9">
        <f t="shared" si="8"/>
        <v>6.4085875298702619E-2</v>
      </c>
      <c r="Q13" s="11">
        <f>(2/3)*'Weir dims'!$B$22*((2*9.81)^0.5)*('Weir dims'!$D$4+'Weir dims'!$D$5+(2*'Weir dims'!$D$8))*(D13^1.5)</f>
        <v>1.2465321354981612E-2</v>
      </c>
      <c r="R13" s="3">
        <f t="shared" si="9"/>
        <v>197.57998660613922</v>
      </c>
      <c r="S13" s="9">
        <f t="shared" si="10"/>
        <v>0.44020866895956795</v>
      </c>
    </row>
    <row r="14" spans="1:19" x14ac:dyDescent="0.25">
      <c r="A14">
        <f t="shared" si="11"/>
        <v>3</v>
      </c>
      <c r="B14">
        <f t="shared" si="0"/>
        <v>3</v>
      </c>
      <c r="C14" s="3">
        <f t="shared" si="1"/>
        <v>7.619999999999999E-2</v>
      </c>
      <c r="D14" s="3">
        <f t="shared" si="2"/>
        <v>7.6999999999999985E-2</v>
      </c>
      <c r="E14" s="3">
        <f>IF(C14&gt;'Weir dims'!$D$7, C14-'Weir dims'!$D$7, 0)</f>
        <v>2.5399999999999992E-2</v>
      </c>
      <c r="F14" s="3">
        <f t="shared" si="3"/>
        <v>2.6199999999999991E-2</v>
      </c>
      <c r="G14" s="11">
        <f>(8/15) * 'Weir dims'!$B$21 * ((2*9.81)^0.5)*(TAN(RADIANS(90)/2)) * ((D14^2.5) - (F14^2.5))</f>
        <v>2.0983905702365965E-3</v>
      </c>
      <c r="H14" s="11">
        <f>(2/3) * 'Weir dims'!$B$22 * ((2*9.81)^0.5) * ('Weir dims'!$D$4  + 'Weir dims'!$D$5+(2*'Weir dims'!$D$8)) * (F14 ^1.5)</f>
        <v>2.8150568300483745E-3</v>
      </c>
      <c r="I14" s="3">
        <f t="shared" si="4"/>
        <v>5.365484561111189E-3</v>
      </c>
      <c r="J14" s="3">
        <f t="shared" si="5"/>
        <v>85.044928849438335</v>
      </c>
      <c r="K14" s="9">
        <f t="shared" si="6"/>
        <v>0.18948029895963739</v>
      </c>
      <c r="L14" s="9"/>
      <c r="M14" s="11">
        <f>(8/15) * 'Weir dims'!$B$21 * ((2*9.81)^0.5)*(TAN(RADIANS(90)/2)) * (D14^2.5)</f>
        <v>2.2503683240529325E-3</v>
      </c>
      <c r="N14" s="3">
        <f t="shared" si="7"/>
        <v>35.669176161877957</v>
      </c>
      <c r="O14" s="9">
        <f t="shared" si="8"/>
        <v>7.9471007316166895E-2</v>
      </c>
      <c r="Q14" s="11">
        <f>(2/3)*'Weir dims'!$B$22*((2*9.81)^0.5)*('Weir dims'!$D$4+'Weir dims'!$D$5+(2*'Weir dims'!$D$8))*(D14^1.5)</f>
        <v>1.4183104982949186E-2</v>
      </c>
      <c r="R14" s="3">
        <f t="shared" si="9"/>
        <v>224.80749695591786</v>
      </c>
      <c r="S14" s="9">
        <f t="shared" si="10"/>
        <v>0.50087162524395967</v>
      </c>
    </row>
    <row r="15" spans="1:19" x14ac:dyDescent="0.25">
      <c r="A15">
        <f t="shared" si="11"/>
        <v>3.25</v>
      </c>
      <c r="B15">
        <f t="shared" si="0"/>
        <v>3.25</v>
      </c>
      <c r="C15" s="3">
        <f t="shared" si="1"/>
        <v>8.2549999999999998E-2</v>
      </c>
      <c r="D15" s="3">
        <f t="shared" si="2"/>
        <v>8.3349999999999994E-2</v>
      </c>
      <c r="E15" s="3">
        <f>IF(C15&gt;'Weir dims'!$D$7, C15-'Weir dims'!$D$7, 0)</f>
        <v>3.175E-2</v>
      </c>
      <c r="F15" s="3">
        <f t="shared" si="3"/>
        <v>3.2550000000000003E-2</v>
      </c>
      <c r="G15" s="11">
        <f>(8/15) * 'Weir dims'!$B$21 * ((2*9.81)^0.5)*(TAN(RADIANS(90)/2)) * ((D15^2.5) - (F15^2.5))</f>
        <v>2.4819511356435229E-3</v>
      </c>
      <c r="H15" s="11">
        <f>(2/3) * 'Weir dims'!$B$22 * ((2*9.81)^0.5) * ('Weir dims'!$D$4  + 'Weir dims'!$D$5+(2*'Weir dims'!$D$8)) * (F15 ^1.5)</f>
        <v>3.8981784756843634E-3</v>
      </c>
      <c r="I15" s="3">
        <f t="shared" si="4"/>
        <v>6.9671015355700517E-3</v>
      </c>
      <c r="J15" s="3">
        <f t="shared" si="5"/>
        <v>110.43115447091283</v>
      </c>
      <c r="K15" s="9">
        <f t="shared" si="6"/>
        <v>0.24604086859371455</v>
      </c>
      <c r="L15" s="9"/>
      <c r="M15" s="11">
        <f>(8/15) * 'Weir dims'!$B$21 * ((2*9.81)^0.5)*(TAN(RADIANS(90)/2)) * (D15^2.5)</f>
        <v>2.7434105448096305E-3</v>
      </c>
      <c r="N15" s="3">
        <f t="shared" si="7"/>
        <v>43.484079011088397</v>
      </c>
      <c r="O15" s="9">
        <f t="shared" si="8"/>
        <v>9.6882629011217511E-2</v>
      </c>
      <c r="Q15" s="11">
        <f>(2/3)*'Weir dims'!$B$22*((2*9.81)^0.5)*('Weir dims'!$D$4+'Weir dims'!$D$5+(2*'Weir dims'!$D$8))*(D15^1.5)</f>
        <v>1.5973262766300546E-2</v>
      </c>
      <c r="R15" s="3">
        <f t="shared" si="9"/>
        <v>253.18216462672652</v>
      </c>
      <c r="S15" s="9">
        <f t="shared" si="10"/>
        <v>0.56409045070342367</v>
      </c>
    </row>
    <row r="16" spans="1:19" x14ac:dyDescent="0.25">
      <c r="A16">
        <f t="shared" si="11"/>
        <v>3.5</v>
      </c>
      <c r="B16">
        <f t="shared" si="0"/>
        <v>3.5</v>
      </c>
      <c r="C16" s="3">
        <f t="shared" si="1"/>
        <v>8.8899999999999993E-2</v>
      </c>
      <c r="D16" s="3">
        <f t="shared" si="2"/>
        <v>8.9699999999999988E-2</v>
      </c>
      <c r="E16" s="3">
        <f>IF(C16&gt;'Weir dims'!$D$7, C16-'Weir dims'!$D$7, 0)</f>
        <v>3.8099999999999995E-2</v>
      </c>
      <c r="F16" s="3">
        <f t="shared" si="3"/>
        <v>3.8899999999999997E-2</v>
      </c>
      <c r="G16" s="11">
        <f>(8/15) * 'Weir dims'!$B$21 * ((2*9.81)^0.5)*(TAN(RADIANS(90)/2)) * ((D16^2.5) - (F16^2.5))</f>
        <v>2.8879309589262183E-3</v>
      </c>
      <c r="H16" s="11">
        <f>(2/3) * 'Weir dims'!$B$22 * ((2*9.81)^0.5) * ('Weir dims'!$D$4  + 'Weir dims'!$D$5+(2*'Weir dims'!$D$8)) * (F16 ^1.5)</f>
        <v>5.0928353030171526E-3</v>
      </c>
      <c r="I16" s="3">
        <f t="shared" si="4"/>
        <v>8.7149967580421612E-3</v>
      </c>
      <c r="J16" s="3">
        <f t="shared" si="5"/>
        <v>138.13594480966808</v>
      </c>
      <c r="K16" s="9">
        <f t="shared" si="6"/>
        <v>0.30776720580183942</v>
      </c>
      <c r="L16" s="9"/>
      <c r="M16" s="11">
        <f>(8/15) * 'Weir dims'!$B$21 * ((2*9.81)^0.5)*(TAN(RADIANS(90)/2)) * (D16^2.5)</f>
        <v>3.296157085758855E-3</v>
      </c>
      <c r="N16" s="3">
        <f t="shared" si="7"/>
        <v>52.245317574239635</v>
      </c>
      <c r="O16" s="9">
        <f t="shared" si="8"/>
        <v>0.11640268887441726</v>
      </c>
      <c r="Q16" s="11">
        <f>(2/3)*'Weir dims'!$B$22*((2*9.81)^0.5)*('Weir dims'!$D$4+'Weir dims'!$D$5+(2*'Weir dims'!$D$8))*(D16^1.5)</f>
        <v>1.7832978843981315E-2</v>
      </c>
      <c r="R16" s="3">
        <f t="shared" si="9"/>
        <v>282.65935717199085</v>
      </c>
      <c r="S16" s="9">
        <f t="shared" si="10"/>
        <v>0.62976570414335142</v>
      </c>
    </row>
    <row r="17" spans="1:19" x14ac:dyDescent="0.25">
      <c r="A17">
        <f t="shared" si="11"/>
        <v>3.75</v>
      </c>
      <c r="B17">
        <f t="shared" si="0"/>
        <v>3.75</v>
      </c>
      <c r="C17" s="3">
        <f t="shared" si="1"/>
        <v>9.5250000000000001E-2</v>
      </c>
      <c r="D17" s="3">
        <f t="shared" si="2"/>
        <v>9.6049999999999996E-2</v>
      </c>
      <c r="E17" s="3">
        <f>IF(C17&gt;'Weir dims'!$D$7, C17-'Weir dims'!$D$7, 0)</f>
        <v>4.4450000000000003E-2</v>
      </c>
      <c r="F17" s="3">
        <f t="shared" si="3"/>
        <v>4.5250000000000005E-2</v>
      </c>
      <c r="G17" s="11">
        <f>(8/15) * 'Weir dims'!$B$21 * ((2*9.81)^0.5)*(TAN(RADIANS(90)/2)) * ((D17^2.5) - (F17^2.5))</f>
        <v>3.3150788882698725E-3</v>
      </c>
      <c r="H17" s="11">
        <f>(2/3) * 'Weir dims'!$B$22 * ((2*9.81)^0.5) * ('Weir dims'!$D$4  + 'Weir dims'!$D$5+(2*'Weir dims'!$D$8)) * (F17 ^1.5)</f>
        <v>6.389444543750118E-3</v>
      </c>
      <c r="I17" s="3">
        <f t="shared" si="4"/>
        <v>1.059733958776583E-2</v>
      </c>
      <c r="J17" s="3">
        <f t="shared" si="5"/>
        <v>167.97177980290988</v>
      </c>
      <c r="K17" s="9">
        <f t="shared" si="6"/>
        <v>0.37424151544866563</v>
      </c>
      <c r="L17" s="9"/>
      <c r="M17" s="11">
        <f>(8/15) * 'Weir dims'!$B$21 * ((2*9.81)^0.5)*(TAN(RADIANS(90)/2)) * (D17^2.5)</f>
        <v>3.9108415100417198E-3</v>
      </c>
      <c r="N17" s="3">
        <f t="shared" si="7"/>
        <v>61.98829465908431</v>
      </c>
      <c r="O17" s="9">
        <f t="shared" si="8"/>
        <v>0.13811006444364801</v>
      </c>
      <c r="Q17" s="11">
        <f>(2/3)*'Weir dims'!$B$22*((2*9.81)^0.5)*('Weir dims'!$D$4+'Weir dims'!$D$5+(2*'Weir dims'!$D$8))*(D17^1.5)</f>
        <v>1.9759742628341924E-2</v>
      </c>
      <c r="R17" s="3">
        <f t="shared" si="9"/>
        <v>313.19928084231202</v>
      </c>
      <c r="S17" s="9">
        <f t="shared" si="10"/>
        <v>0.69780872499767699</v>
      </c>
    </row>
    <row r="18" spans="1:19" x14ac:dyDescent="0.25">
      <c r="A18">
        <f t="shared" si="11"/>
        <v>4</v>
      </c>
      <c r="B18">
        <f t="shared" si="0"/>
        <v>4</v>
      </c>
      <c r="C18" s="3">
        <f t="shared" si="1"/>
        <v>0.1016</v>
      </c>
      <c r="D18" s="3">
        <f t="shared" si="2"/>
        <v>0.10239999999999999</v>
      </c>
      <c r="E18" s="3">
        <f>IF(C18&gt;'Weir dims'!$D$7, C18-'Weir dims'!$D$7, 0)</f>
        <v>5.0799999999999998E-2</v>
      </c>
      <c r="F18" s="3">
        <f t="shared" si="3"/>
        <v>5.16E-2</v>
      </c>
      <c r="G18" s="11">
        <f>(8/15) * 'Weir dims'!$B$21 * ((2*9.81)^0.5)*(TAN(RADIANS(90)/2)) * ((D18^2.5) - (F18^2.5))</f>
        <v>3.7623423438166615E-3</v>
      </c>
      <c r="H18" s="11">
        <f>(2/3) * 'Weir dims'!$B$22 * ((2*9.81)^0.5) * ('Weir dims'!$D$4  + 'Weir dims'!$D$5+(2*'Weir dims'!$D$8)) * (F18 ^1.5)</f>
        <v>7.7805407604766945E-3</v>
      </c>
      <c r="I18" s="3">
        <f t="shared" si="4"/>
        <v>1.2604828349888346E-2</v>
      </c>
      <c r="J18" s="3">
        <f t="shared" si="5"/>
        <v>199.79122443949998</v>
      </c>
      <c r="K18" s="9">
        <f t="shared" si="6"/>
        <v>0.44513531198701789</v>
      </c>
      <c r="L18" s="9"/>
      <c r="M18" s="11">
        <f>(8/15) * 'Weir dims'!$B$21 * ((2*9.81)^0.5)*(TAN(RADIANS(90)/2)) * (D18^2.5)</f>
        <v>4.5896195286604918E-3</v>
      </c>
      <c r="N18" s="3">
        <f t="shared" si="7"/>
        <v>72.747179087975681</v>
      </c>
      <c r="O18" s="9">
        <f t="shared" si="8"/>
        <v>0.16208088393445635</v>
      </c>
      <c r="Q18" s="11">
        <f>(2/3)*'Weir dims'!$B$22*((2*9.81)^0.5)*('Weir dims'!$D$4+'Weir dims'!$D$5+(2*'Weir dims'!$D$8))*(D18^1.5)</f>
        <v>2.1751297315372179E-2</v>
      </c>
      <c r="R18" s="3">
        <f t="shared" si="9"/>
        <v>344.76616445350572</v>
      </c>
      <c r="S18" s="9">
        <f t="shared" si="10"/>
        <v>0.76813981498497319</v>
      </c>
    </row>
    <row r="19" spans="1:19" x14ac:dyDescent="0.25">
      <c r="A19">
        <f t="shared" si="11"/>
        <v>4.25</v>
      </c>
      <c r="B19">
        <f t="shared" si="0"/>
        <v>4.25</v>
      </c>
      <c r="C19" s="3">
        <f t="shared" si="1"/>
        <v>0.10794999999999999</v>
      </c>
      <c r="D19" s="3">
        <f t="shared" si="2"/>
        <v>0.10874999999999999</v>
      </c>
      <c r="E19" s="3">
        <f>IF(C19&gt;'Weir dims'!$D$7, C19-'Weir dims'!$D$7, 0)</f>
        <v>5.7149999999999992E-2</v>
      </c>
      <c r="F19" s="3">
        <f t="shared" si="3"/>
        <v>5.7949999999999995E-2</v>
      </c>
      <c r="G19" s="11">
        <f>(8/15) * 'Weir dims'!$B$21 * ((2*9.81)^0.5)*(TAN(RADIANS(90)/2)) * ((D19^2.5) - (F19^2.5))</f>
        <v>4.2288178466022563E-3</v>
      </c>
      <c r="H19" s="11">
        <f>(2/3) * 'Weir dims'!$B$22 * ((2*9.81)^0.5) * ('Weir dims'!$D$4  + 'Weir dims'!$D$5+(2*'Weir dims'!$D$8)) * (F19 ^1.5)</f>
        <v>9.2600938927286502E-3</v>
      </c>
      <c r="I19" s="3">
        <f t="shared" si="4"/>
        <v>1.4729891619349351E-2</v>
      </c>
      <c r="J19" s="3">
        <f t="shared" si="5"/>
        <v>233.47426881199888</v>
      </c>
      <c r="K19" s="9">
        <f t="shared" si="6"/>
        <v>0.52018121306444554</v>
      </c>
      <c r="L19" s="9"/>
      <c r="M19" s="11">
        <f>(8/15) * 'Weir dims'!$B$21 * ((2*9.81)^0.5)*(TAN(RADIANS(90)/2)) * (D19^2.5)</f>
        <v>5.3345766201684068E-3</v>
      </c>
      <c r="N19" s="3">
        <f t="shared" si="7"/>
        <v>84.555026472789393</v>
      </c>
      <c r="O19" s="9">
        <f t="shared" si="8"/>
        <v>0.18838879532685976</v>
      </c>
      <c r="Q19" s="11">
        <f>(2/3)*'Weir dims'!$B$22*((2*9.81)^0.5)*('Weir dims'!$D$4+'Weir dims'!$D$5+(2*'Weir dims'!$D$8))*(D19^1.5)</f>
        <v>2.3805599794486279E-2</v>
      </c>
      <c r="R19" s="3">
        <f t="shared" si="9"/>
        <v>377.32762394176143</v>
      </c>
      <c r="S19" s="9">
        <f t="shared" si="10"/>
        <v>0.84068682233587133</v>
      </c>
    </row>
    <row r="20" spans="1:19" x14ac:dyDescent="0.25">
      <c r="A20">
        <f t="shared" si="11"/>
        <v>4.5</v>
      </c>
      <c r="B20">
        <f t="shared" si="0"/>
        <v>4.5</v>
      </c>
      <c r="C20" s="3">
        <f t="shared" si="1"/>
        <v>0.1143</v>
      </c>
      <c r="D20" s="3">
        <f t="shared" si="2"/>
        <v>0.11509999999999999</v>
      </c>
      <c r="E20" s="3">
        <f>IF(C20&gt;'Weir dims'!$D$7, C20-'Weir dims'!$D$7, 0)</f>
        <v>6.3500000000000001E-2</v>
      </c>
      <c r="F20" s="3">
        <f t="shared" si="3"/>
        <v>6.4299999999999996E-2</v>
      </c>
      <c r="G20" s="11">
        <f>(8/15) * 'Weir dims'!$B$21 * ((2*9.81)^0.5)*(TAN(RADIANS(90)/2)) * ((D20^2.5) - (F20^2.5))</f>
        <v>4.7137177277476721E-3</v>
      </c>
      <c r="H20" s="11">
        <f>(2/3) * 'Weir dims'!$B$22 * ((2*9.81)^0.5) * ('Weir dims'!$D$4  + 'Weir dims'!$D$5+(2*'Weir dims'!$D$8)) * (F20 ^1.5)</f>
        <v>1.0823100449637394E-2</v>
      </c>
      <c r="I20" s="3">
        <f t="shared" si="4"/>
        <v>1.6966205449704494E-2</v>
      </c>
      <c r="J20" s="3">
        <f t="shared" si="5"/>
        <v>268.92067601369632</v>
      </c>
      <c r="K20" s="9">
        <f t="shared" si="6"/>
        <v>0.59915589062003771</v>
      </c>
      <c r="L20" s="9"/>
      <c r="M20" s="11">
        <f>(8/15) * 'Weir dims'!$B$21 * ((2*9.81)^0.5)*(TAN(RADIANS(90)/2)) * (D20^2.5)</f>
        <v>6.1477344822647405E-3</v>
      </c>
      <c r="N20" s="3">
        <f t="shared" si="7"/>
        <v>97.44388147510854</v>
      </c>
      <c r="O20" s="9">
        <f t="shared" si="8"/>
        <v>0.21710519420127636</v>
      </c>
      <c r="Q20" s="11">
        <f>(2/3)*'Weir dims'!$B$22*((2*9.81)^0.5)*('Weir dims'!$D$4+'Weir dims'!$D$5+(2*'Weir dims'!$D$8))*(D20^1.5)</f>
        <v>2.5920788903774656E-2</v>
      </c>
      <c r="R20" s="3">
        <f t="shared" si="9"/>
        <v>410.85415919755991</v>
      </c>
      <c r="S20" s="9">
        <f t="shared" si="10"/>
        <v>0.91538402073786029</v>
      </c>
    </row>
    <row r="21" spans="1:19" x14ac:dyDescent="0.25">
      <c r="A21">
        <f t="shared" si="11"/>
        <v>4.75</v>
      </c>
      <c r="B21">
        <f t="shared" si="0"/>
        <v>4.75</v>
      </c>
      <c r="C21" s="3">
        <f t="shared" si="1"/>
        <v>0.12064999999999999</v>
      </c>
      <c r="D21" s="3">
        <f t="shared" si="2"/>
        <v>0.12144999999999999</v>
      </c>
      <c r="E21" s="3">
        <f>IF(C21&gt;'Weir dims'!$D$7, C21-'Weir dims'!$D$7, 0)</f>
        <v>6.9849999999999995E-2</v>
      </c>
      <c r="F21" s="3">
        <f t="shared" si="3"/>
        <v>7.0649999999999991E-2</v>
      </c>
      <c r="G21" s="11">
        <f>(8/15) * 'Weir dims'!$B$21 * ((2*9.81)^0.5)*(TAN(RADIANS(90)/2)) * ((D21^2.5) - (F21^2.5))</f>
        <v>5.2163466510851877E-3</v>
      </c>
      <c r="H21" s="11">
        <f>(2/3) * 'Weir dims'!$B$22 * ((2*9.81)^0.5) * ('Weir dims'!$D$4  + 'Weir dims'!$D$5+(2*'Weir dims'!$D$8)) * (F21 ^1.5)</f>
        <v>1.2465321354981612E-2</v>
      </c>
      <c r="I21" s="3">
        <f t="shared" si="4"/>
        <v>1.9308381462624945E-2</v>
      </c>
      <c r="J21" s="3">
        <f t="shared" si="5"/>
        <v>306.04503824099692</v>
      </c>
      <c r="K21" s="9">
        <f t="shared" si="6"/>
        <v>0.68186905586905833</v>
      </c>
      <c r="L21" s="9"/>
      <c r="M21" s="11">
        <f>(8/15) * 'Weir dims'!$B$21 * ((2*9.81)^0.5)*(TAN(RADIANS(90)/2)) * (D21^2.5)</f>
        <v>7.0310565517368237E-3</v>
      </c>
      <c r="N21" s="3">
        <f t="shared" si="7"/>
        <v>111.4448652993606</v>
      </c>
      <c r="O21" s="9">
        <f t="shared" si="8"/>
        <v>0.24829941867343722</v>
      </c>
      <c r="Q21" s="11">
        <f>(2/3)*'Weir dims'!$B$22*((2*9.81)^0.5)*('Weir dims'!$D$4+'Weir dims'!$D$5+(2*'Weir dims'!$D$8))*(D21^1.5)</f>
        <v>2.8095159921119394E-2</v>
      </c>
      <c r="R21" s="3">
        <f t="shared" si="9"/>
        <v>445.318749740351</v>
      </c>
      <c r="S21" s="9">
        <f t="shared" si="10"/>
        <v>0.9921712084975296</v>
      </c>
    </row>
    <row r="22" spans="1:19" x14ac:dyDescent="0.25">
      <c r="A22">
        <f t="shared" si="11"/>
        <v>5</v>
      </c>
      <c r="B22">
        <f t="shared" si="0"/>
        <v>5</v>
      </c>
      <c r="C22" s="3">
        <f t="shared" si="1"/>
        <v>0.127</v>
      </c>
      <c r="D22" s="3">
        <f t="shared" si="2"/>
        <v>0.1278</v>
      </c>
      <c r="E22" s="3">
        <f>IF(C22&gt;'Weir dims'!$D$7, C22-'Weir dims'!$D$7, 0)</f>
        <v>7.6200000000000004E-2</v>
      </c>
      <c r="F22" s="3">
        <f t="shared" si="3"/>
        <v>7.6999999999999999E-2</v>
      </c>
      <c r="G22" s="11">
        <f>(8/15) * 'Weir dims'!$B$21 * ((2*9.81)^0.5)*(TAN(RADIANS(90)/2)) * ((D22^2.5) - (F22^2.5))</f>
        <v>5.7360844469174378E-3</v>
      </c>
      <c r="H22" s="11">
        <f>(2/3) * 'Weir dims'!$B$22 * ((2*9.81)^0.5) * ('Weir dims'!$D$4  + 'Weir dims'!$D$5+(2*'Weir dims'!$D$8)) * (F22 ^1.5)</f>
        <v>1.4183104982949191E-2</v>
      </c>
      <c r="I22" s="3">
        <f t="shared" si="4"/>
        <v>2.175175485741436E-2</v>
      </c>
      <c r="J22" s="3">
        <f t="shared" si="5"/>
        <v>344.77341666530123</v>
      </c>
      <c r="K22" s="9">
        <f t="shared" si="6"/>
        <v>0.76815597292969406</v>
      </c>
      <c r="L22" s="9"/>
      <c r="M22" s="11">
        <f>(8/15) * 'Weir dims'!$B$21 * ((2*9.81)^0.5)*(TAN(RADIANS(90)/2)) * (D22^2.5)</f>
        <v>7.9864527709703724E-3</v>
      </c>
      <c r="N22" s="3">
        <f t="shared" si="7"/>
        <v>126.5882512437817</v>
      </c>
      <c r="O22" s="9">
        <f t="shared" si="8"/>
        <v>0.28203891772211009</v>
      </c>
      <c r="Q22" s="11">
        <f>(2/3)*'Weir dims'!$B$22*((2*9.81)^0.5)*('Weir dims'!$D$4+'Weir dims'!$D$5+(2*'Weir dims'!$D$8))*(D22^1.5)</f>
        <v>3.0327143799046972E-2</v>
      </c>
      <c r="R22" s="3">
        <f t="shared" si="9"/>
        <v>480.69652558323457</v>
      </c>
      <c r="S22" s="9">
        <f t="shared" si="10"/>
        <v>1.0709929752263154</v>
      </c>
    </row>
    <row r="23" spans="1:19" x14ac:dyDescent="0.25">
      <c r="A23">
        <f t="shared" si="11"/>
        <v>5.25</v>
      </c>
      <c r="B23">
        <f t="shared" si="0"/>
        <v>5.25</v>
      </c>
      <c r="C23" s="3">
        <f t="shared" si="1"/>
        <v>0.13335</v>
      </c>
      <c r="D23" s="3">
        <f t="shared" si="2"/>
        <v>0.13414999999999999</v>
      </c>
      <c r="E23" s="3">
        <f>IF(C23&gt;'Weir dims'!$D$7, C23-'Weir dims'!$D$7, 0)</f>
        <v>8.2549999999999998E-2</v>
      </c>
      <c r="F23" s="3">
        <f t="shared" si="3"/>
        <v>8.3349999999999994E-2</v>
      </c>
      <c r="G23" s="11">
        <f>(8/15) * 'Weir dims'!$B$21 * ((2*9.81)^0.5)*(TAN(RADIANS(90)/2)) * ((D23^2.5) - (F23^2.5))</f>
        <v>6.2723731928448429E-3</v>
      </c>
      <c r="H23" s="11">
        <f>(2/3) * 'Weir dims'!$B$22 * ((2*9.81)^0.5) * ('Weir dims'!$D$4  + 'Weir dims'!$D$5+(2*'Weir dims'!$D$8)) * (F23 ^1.5)</f>
        <v>1.5973262766300546E-2</v>
      </c>
      <c r="I23" s="3">
        <f t="shared" si="4"/>
        <v>2.4292234467386764E-2</v>
      </c>
      <c r="J23" s="3">
        <f t="shared" si="5"/>
        <v>385.04096477074341</v>
      </c>
      <c r="K23" s="9">
        <f t="shared" si="6"/>
        <v>0.85787216361401553</v>
      </c>
      <c r="L23" s="9"/>
      <c r="M23" s="11">
        <f>(8/15) * 'Weir dims'!$B$21 * ((2*9.81)^0.5)*(TAN(RADIANS(90)/2)) * (D23^2.5)</f>
        <v>9.0157837376544734E-3</v>
      </c>
      <c r="N23" s="3">
        <f t="shared" si="7"/>
        <v>142.90353047478624</v>
      </c>
      <c r="O23" s="9">
        <f t="shared" si="8"/>
        <v>0.31838939773454794</v>
      </c>
      <c r="Q23" s="11">
        <f>(2/3)*'Weir dims'!$B$22*((2*9.81)^0.5)*('Weir dims'!$D$4+'Weir dims'!$D$5+(2*'Weir dims'!$D$8))*(D23^1.5)</f>
        <v>3.2615290065758959E-2</v>
      </c>
      <c r="R23" s="3">
        <f t="shared" si="9"/>
        <v>516.96449620792839</v>
      </c>
      <c r="S23" s="9">
        <f t="shared" si="10"/>
        <v>1.1517980979960987</v>
      </c>
    </row>
    <row r="24" spans="1:19" x14ac:dyDescent="0.25">
      <c r="A24">
        <f t="shared" si="11"/>
        <v>5.5</v>
      </c>
      <c r="B24">
        <f t="shared" si="0"/>
        <v>5.5</v>
      </c>
      <c r="C24" s="3">
        <f t="shared" si="1"/>
        <v>0.13969999999999999</v>
      </c>
      <c r="D24" s="3">
        <f t="shared" si="2"/>
        <v>0.14049999999999999</v>
      </c>
      <c r="E24" s="3">
        <f>IF(C24&gt;'Weir dims'!$D$7, C24-'Weir dims'!$D$7, 0)</f>
        <v>8.8899999999999993E-2</v>
      </c>
      <c r="F24" s="3">
        <f t="shared" si="3"/>
        <v>8.9699999999999988E-2</v>
      </c>
      <c r="G24" s="11">
        <f>(8/15) * 'Weir dims'!$B$21 * ((2*9.81)^0.5)*(TAN(RADIANS(90)/2)) * ((D24^2.5) - (F24^2.5))</f>
        <v>6.8247072582419983E-3</v>
      </c>
      <c r="H24" s="11">
        <f>(2/3) * 'Weir dims'!$B$22 * ((2*9.81)^0.5) * ('Weir dims'!$D$4  + 'Weir dims'!$D$5+(2*'Weir dims'!$D$8)) * (F24 ^1.5)</f>
        <v>1.7832978843981315E-2</v>
      </c>
      <c r="I24" s="3">
        <f t="shared" si="4"/>
        <v>2.6926193223627857E-2</v>
      </c>
      <c r="J24" s="3">
        <f t="shared" si="5"/>
        <v>426.79019216400746</v>
      </c>
      <c r="K24" s="9">
        <f t="shared" si="6"/>
        <v>0.95088953919221619</v>
      </c>
      <c r="L24" s="9"/>
      <c r="M24" s="11">
        <f>(8/15) * 'Weir dims'!$B$21 * ((2*9.81)^0.5)*(TAN(RADIANS(90)/2)) * (D24^2.5)</f>
        <v>1.0120864344000854E-2</v>
      </c>
      <c r="N24" s="3">
        <f t="shared" si="7"/>
        <v>160.419469709948</v>
      </c>
      <c r="O24" s="9">
        <f t="shared" si="8"/>
        <v>0.35741495102430426</v>
      </c>
      <c r="Q24" s="11">
        <f>(2/3)*'Weir dims'!$B$22*((2*9.81)^0.5)*('Weir dims'!$D$4+'Weir dims'!$D$5+(2*'Weir dims'!$D$8))*(D24^1.5)</f>
        <v>3.4958252599707945E-2</v>
      </c>
      <c r="R24" s="3">
        <f t="shared" si="9"/>
        <v>554.10132508649758</v>
      </c>
      <c r="S24" s="9">
        <f t="shared" si="10"/>
        <v>1.2345390389730946</v>
      </c>
    </row>
    <row r="25" spans="1:19" x14ac:dyDescent="0.25">
      <c r="A25">
        <f t="shared" si="11"/>
        <v>5.75</v>
      </c>
      <c r="B25">
        <f t="shared" si="0"/>
        <v>5.75</v>
      </c>
      <c r="C25" s="3">
        <f t="shared" si="1"/>
        <v>0.14604999999999999</v>
      </c>
      <c r="D25" s="3">
        <f t="shared" si="2"/>
        <v>0.14684999999999998</v>
      </c>
      <c r="E25" s="3">
        <f>IF(C25&gt;'Weir dims'!$D$7, C25-'Weir dims'!$D$7, 0)</f>
        <v>9.5249999999999987E-2</v>
      </c>
      <c r="F25" s="3">
        <f t="shared" si="3"/>
        <v>9.6049999999999983E-2</v>
      </c>
      <c r="G25" s="11">
        <f>(8/15) * 'Weir dims'!$B$21 * ((2*9.81)^0.5)*(TAN(RADIANS(90)/2)) * ((D25^2.5) - (F25^2.5))</f>
        <v>7.3926254792845408E-3</v>
      </c>
      <c r="H25" s="11">
        <f>(2/3) * 'Weir dims'!$B$22 * ((2*9.81)^0.5) * ('Weir dims'!$D$4  + 'Weir dims'!$D$5+(2*'Weir dims'!$D$8)) * (F25 ^1.5)</f>
        <v>1.9759742628341924E-2</v>
      </c>
      <c r="I25" s="3">
        <f t="shared" si="4"/>
        <v>2.9650385973528103E-2</v>
      </c>
      <c r="J25" s="3">
        <f t="shared" si="5"/>
        <v>469.96966196746575</v>
      </c>
      <c r="K25" s="9">
        <f t="shared" si="6"/>
        <v>1.0470934981814999</v>
      </c>
      <c r="L25" s="9"/>
      <c r="M25" s="11">
        <f>(8/15) * 'Weir dims'!$B$21 * ((2*9.81)^0.5)*(TAN(RADIANS(90)/2)) * (D25^2.5)</f>
        <v>1.1303466989326261E-2</v>
      </c>
      <c r="N25" s="3">
        <f t="shared" si="7"/>
        <v>179.16416213862735</v>
      </c>
      <c r="O25" s="9">
        <f t="shared" si="8"/>
        <v>0.39917816928250932</v>
      </c>
      <c r="Q25" s="11">
        <f>(2/3)*'Weir dims'!$B$22*((2*9.81)^0.5)*('Weir dims'!$D$4+'Weir dims'!$D$5+(2*'Weir dims'!$D$8))*(D25^1.5)</f>
        <v>3.7354777685021781E-2</v>
      </c>
      <c r="R25" s="3">
        <f t="shared" si="9"/>
        <v>592.0871403553798</v>
      </c>
      <c r="S25" s="9">
        <f t="shared" si="10"/>
        <v>1.3191715235991417</v>
      </c>
    </row>
    <row r="26" spans="1:19" x14ac:dyDescent="0.25">
      <c r="A26">
        <f>A25+0.25</f>
        <v>6</v>
      </c>
      <c r="B26">
        <f t="shared" si="0"/>
        <v>6</v>
      </c>
      <c r="C26" s="3">
        <f t="shared" si="1"/>
        <v>0.15239999999999998</v>
      </c>
      <c r="D26" s="3">
        <f t="shared" si="2"/>
        <v>0.15319999999999998</v>
      </c>
      <c r="E26" s="3">
        <f>IF(C26&gt;'Weir dims'!$D$7, C26-'Weir dims'!$D$7, 0)</f>
        <v>0.10159999999999998</v>
      </c>
      <c r="F26" s="3">
        <f t="shared" si="3"/>
        <v>0.10239999999999998</v>
      </c>
      <c r="G26" s="11">
        <f>(8/15) * 'Weir dims'!$B$21 * ((2*9.81)^0.5)*(TAN(RADIANS(90)/2)) * ((D26^2.5) - (F26^2.5))</f>
        <v>7.9757049042621514E-3</v>
      </c>
      <c r="H26" s="11">
        <f>(2/3) * 'Weir dims'!$B$22 * ((2*9.81)^0.5) * ('Weir dims'!$D$4  + 'Weir dims'!$D$5+(2*'Weir dims'!$D$8)) * (F26 ^1.5)</f>
        <v>2.1751297315372162E-2</v>
      </c>
      <c r="I26" s="3">
        <f t="shared" si="4"/>
        <v>3.2461886423840673E-2</v>
      </c>
      <c r="J26" s="3">
        <f t="shared" si="5"/>
        <v>514.53299134315932</v>
      </c>
      <c r="K26" s="9">
        <f t="shared" si="6"/>
        <v>1.1463806995111883</v>
      </c>
      <c r="L26" s="9"/>
      <c r="M26" s="11">
        <f>(8/15) * 'Weir dims'!$B$21 * ((2*9.81)^0.5)*(TAN(RADIANS(90)/2)) * (D26^2.5)</f>
        <v>1.256532443292264E-2</v>
      </c>
      <c r="N26" s="3">
        <f t="shared" si="7"/>
        <v>199.16507264102628</v>
      </c>
      <c r="O26" s="9">
        <f t="shared" si="8"/>
        <v>0.44374024432602949</v>
      </c>
      <c r="Q26" s="11">
        <f>(2/3)*'Weir dims'!$B$22*((2*9.81)^0.5)*('Weir dims'!$D$4+'Weir dims'!$D$5+(2*'Weir dims'!$D$8))*(D26^1.5)</f>
        <v>3.9803693898003804E-2</v>
      </c>
      <c r="R26" s="3">
        <f t="shared" si="9"/>
        <v>630.90337451264668</v>
      </c>
      <c r="S26" s="9">
        <f t="shared" si="10"/>
        <v>1.4056541834368279</v>
      </c>
    </row>
    <row r="27" spans="1:19" x14ac:dyDescent="0.25">
      <c r="A27">
        <f t="shared" si="11"/>
        <v>6.25</v>
      </c>
      <c r="B27">
        <f t="shared" si="0"/>
        <v>6.25</v>
      </c>
      <c r="C27" s="3">
        <f t="shared" si="1"/>
        <v>0.15875</v>
      </c>
      <c r="D27" s="3">
        <f t="shared" si="2"/>
        <v>0.15955</v>
      </c>
      <c r="E27" s="3">
        <f>IF(C27&gt;'Weir dims'!$D$7, C27-'Weir dims'!$D$7, 0)</f>
        <v>0.10795</v>
      </c>
      <c r="F27" s="3">
        <f t="shared" si="3"/>
        <v>0.10875</v>
      </c>
      <c r="G27" s="11">
        <f>(8/15) * 'Weir dims'!$B$21 * ((2*9.81)^0.5)*(TAN(RADIANS(90)/2)) * ((D27^2.5) - (F27^2.5))</f>
        <v>8.5735557210464049E-3</v>
      </c>
      <c r="H27" s="11">
        <f>(2/3) * 'Weir dims'!$B$22 * ((2*9.81)^0.5) * ('Weir dims'!$D$4  + 'Weir dims'!$D$5+(2*'Weir dims'!$D$8)) * (F27 ^1.5)</f>
        <v>2.3805599794486293E-2</v>
      </c>
      <c r="I27" s="3">
        <f t="shared" si="4"/>
        <v>3.5358037822961708E-2</v>
      </c>
      <c r="J27" s="3">
        <f t="shared" si="5"/>
        <v>560.43806978857015</v>
      </c>
      <c r="K27" s="9">
        <f t="shared" si="6"/>
        <v>1.2486573208838863</v>
      </c>
      <c r="L27" s="9"/>
      <c r="M27" s="11">
        <f>(8/15) * 'Weir dims'!$B$21 * ((2*9.81)^0.5)*(TAN(RADIANS(90)/2)) * (D27^2.5)</f>
        <v>1.390813234121482E-2</v>
      </c>
      <c r="N27" s="3">
        <f t="shared" si="7"/>
        <v>220.44907816158658</v>
      </c>
      <c r="O27" s="9">
        <f t="shared" si="8"/>
        <v>0.49116105804949201</v>
      </c>
      <c r="Q27" s="11">
        <f>(2/3)*'Weir dims'!$B$22*((2*9.81)^0.5)*('Weir dims'!$D$4+'Weir dims'!$D$5+(2*'Weir dims'!$D$8))*(D27^1.5)</f>
        <v>4.230390347882676E-2</v>
      </c>
      <c r="R27" s="3">
        <f t="shared" si="9"/>
        <v>670.53262765613852</v>
      </c>
      <c r="S27" s="9">
        <f t="shared" si="10"/>
        <v>1.4939482514637374</v>
      </c>
    </row>
    <row r="28" spans="1:19" x14ac:dyDescent="0.25">
      <c r="A28">
        <f t="shared" si="11"/>
        <v>6.5</v>
      </c>
      <c r="B28">
        <f t="shared" si="0"/>
        <v>6.5</v>
      </c>
      <c r="C28" s="3">
        <f t="shared" si="1"/>
        <v>0.1651</v>
      </c>
      <c r="D28" s="3">
        <f t="shared" si="2"/>
        <v>0.16589999999999999</v>
      </c>
      <c r="E28" s="3">
        <f>IF(C28&gt;'Weir dims'!$D$7, C28-'Weir dims'!$D$7, 0)</f>
        <v>0.1143</v>
      </c>
      <c r="F28" s="3">
        <f t="shared" si="3"/>
        <v>0.11509999999999999</v>
      </c>
      <c r="G28" s="11">
        <f>(8/15) * 'Weir dims'!$B$21 * ((2*9.81)^0.5)*(TAN(RADIANS(90)/2)) * ((D28^2.5) - (F28^2.5))</f>
        <v>9.1858170909414599E-3</v>
      </c>
      <c r="H28" s="11">
        <f>(2/3) * 'Weir dims'!$B$22 * ((2*9.81)^0.5) * ('Weir dims'!$D$4  + 'Weir dims'!$D$5+(2*'Weir dims'!$D$8)) * (F28 ^1.5)</f>
        <v>2.5920788903774656E-2</v>
      </c>
      <c r="I28" s="3">
        <f t="shared" si="4"/>
        <v>3.8336413746230001E-2</v>
      </c>
      <c r="J28" s="3">
        <f t="shared" si="5"/>
        <v>607.64643756901432</v>
      </c>
      <c r="K28" s="9">
        <f t="shared" si="6"/>
        <v>1.3538376739214106</v>
      </c>
      <c r="L28" s="9"/>
      <c r="M28" s="11">
        <f>(8/15) * 'Weir dims'!$B$21 * ((2*9.81)^0.5)*(TAN(RADIANS(90)/2)) * (D28^2.5)</f>
        <v>1.53335515732062E-2</v>
      </c>
      <c r="N28" s="3">
        <f t="shared" si="7"/>
        <v>243.04250393415509</v>
      </c>
      <c r="O28" s="9">
        <f t="shared" si="8"/>
        <v>0.5414992631350376</v>
      </c>
      <c r="Q28" s="11">
        <f>(2/3)*'Weir dims'!$B$22*((2*9.81)^0.5)*('Weir dims'!$D$4+'Weir dims'!$D$5+(2*'Weir dims'!$D$8))*(D28^1.5)</f>
        <v>4.4854374919201176E-2</v>
      </c>
      <c r="R28" s="3">
        <f t="shared" si="9"/>
        <v>710.95854999524704</v>
      </c>
      <c r="S28" s="9">
        <f t="shared" si="10"/>
        <v>1.5840173003084288</v>
      </c>
    </row>
    <row r="29" spans="1:19" x14ac:dyDescent="0.25">
      <c r="A29">
        <f t="shared" si="11"/>
        <v>6.75</v>
      </c>
      <c r="B29">
        <f t="shared" si="0"/>
        <v>6.75</v>
      </c>
      <c r="C29" s="3">
        <f t="shared" si="1"/>
        <v>0.17144999999999999</v>
      </c>
      <c r="D29" s="3">
        <f t="shared" si="2"/>
        <v>0.17224999999999999</v>
      </c>
      <c r="E29" s="3">
        <f>IF(C29&gt;'Weir dims'!$D$7, C29-'Weir dims'!$D$7, 0)</f>
        <v>0.12064999999999999</v>
      </c>
      <c r="F29" s="3">
        <f t="shared" si="3"/>
        <v>0.12144999999999999</v>
      </c>
      <c r="G29" s="11">
        <f>(8/15) * 'Weir dims'!$B$21 * ((2*9.81)^0.5)*(TAN(RADIANS(90)/2)) * ((D29^2.5) - (F29^2.5))</f>
        <v>9.812153688652004E-3</v>
      </c>
      <c r="H29" s="11">
        <f>(2/3) * 'Weir dims'!$B$22 * ((2*9.81)^0.5) * ('Weir dims'!$D$4  + 'Weir dims'!$D$5+(2*'Weir dims'!$D$8)) * (F29 ^1.5)</f>
        <v>2.8095159921119394E-2</v>
      </c>
      <c r="I29" s="3">
        <f t="shared" si="4"/>
        <v>4.1394786461870371E-2</v>
      </c>
      <c r="J29" s="3">
        <f t="shared" si="5"/>
        <v>656.12278430606136</v>
      </c>
      <c r="K29" s="9">
        <f t="shared" si="6"/>
        <v>1.4618430870186243</v>
      </c>
      <c r="L29" s="9"/>
      <c r="M29" s="11">
        <f>(8/15) * 'Weir dims'!$B$21 * ((2*9.81)^0.5)*(TAN(RADIANS(90)/2)) * (D29^2.5)</f>
        <v>1.6843210240388828E-2</v>
      </c>
      <c r="N29" s="3">
        <f t="shared" si="7"/>
        <v>266.97115613232586</v>
      </c>
      <c r="O29" s="9">
        <f t="shared" si="8"/>
        <v>0.59481235579735825</v>
      </c>
      <c r="Q29" s="11">
        <f>(2/3)*'Weir dims'!$B$22*((2*9.81)^0.5)*('Weir dims'!$D$4+'Weir dims'!$D$5+(2*'Weir dims'!$D$8))*(D29^1.5)</f>
        <v>4.7454136554153557E-2</v>
      </c>
      <c r="R29" s="3">
        <f t="shared" si="9"/>
        <v>752.16574027821298</v>
      </c>
      <c r="S29" s="9">
        <f t="shared" si="10"/>
        <v>1.6758270159462192</v>
      </c>
    </row>
    <row r="30" spans="1:19" x14ac:dyDescent="0.25">
      <c r="A30">
        <f t="shared" si="11"/>
        <v>7</v>
      </c>
      <c r="B30">
        <f t="shared" si="0"/>
        <v>7</v>
      </c>
      <c r="C30" s="3">
        <f t="shared" si="1"/>
        <v>0.17779999999999999</v>
      </c>
      <c r="D30" s="3">
        <f t="shared" si="2"/>
        <v>0.17859999999999998</v>
      </c>
      <c r="E30" s="3">
        <f>IF(C30&gt;'Weir dims'!$D$7, C30-'Weir dims'!$D$7, 0)</f>
        <v>0.127</v>
      </c>
      <c r="F30" s="3">
        <f t="shared" si="3"/>
        <v>0.1278</v>
      </c>
      <c r="G30" s="11">
        <f>(8/15) * 'Weir dims'!$B$21 * ((2*9.81)^0.5)*(TAN(RADIANS(90)/2)) * ((D30^2.5) - (F30^2.5))</f>
        <v>1.0452252800136211E-2</v>
      </c>
      <c r="H30" s="11">
        <f>(2/3) * 'Weir dims'!$B$22 * ((2*9.81)^0.5) * ('Weir dims'!$D$4  + 'Weir dims'!$D$5+(2*'Weir dims'!$D$8)) * (F30 ^1.5)</f>
        <v>3.0327143799046972E-2</v>
      </c>
      <c r="I30" s="3">
        <f t="shared" si="4"/>
        <v>4.4531101086308041E-2</v>
      </c>
      <c r="J30" s="3">
        <f t="shared" si="5"/>
        <v>705.83453932964028</v>
      </c>
      <c r="K30" s="9">
        <f t="shared" si="6"/>
        <v>1.5726009926469762</v>
      </c>
      <c r="L30" s="9"/>
      <c r="M30" s="11">
        <f>(8/15) * 'Weir dims'!$B$21 * ((2*9.81)^0.5)*(TAN(RADIANS(90)/2)) * (D30^2.5)</f>
        <v>1.8438705571106585E-2</v>
      </c>
      <c r="N30" s="3">
        <f t="shared" si="7"/>
        <v>292.26035142029099</v>
      </c>
      <c r="O30" s="9">
        <f t="shared" si="8"/>
        <v>0.65115674162306214</v>
      </c>
      <c r="Q30" s="11">
        <f>(2/3)*'Weir dims'!$B$22*((2*9.81)^0.5)*('Weir dims'!$D$4+'Weir dims'!$D$5+(2*'Weir dims'!$D$8))*(D30^1.5)</f>
        <v>5.0102270989497197E-2</v>
      </c>
      <c r="R30" s="3">
        <f t="shared" si="9"/>
        <v>794.13965746546262</v>
      </c>
      <c r="S30" s="9">
        <f t="shared" si="10"/>
        <v>1.7693450009071725</v>
      </c>
    </row>
    <row r="31" spans="1:19" x14ac:dyDescent="0.25">
      <c r="A31">
        <f t="shared" si="11"/>
        <v>7.25</v>
      </c>
      <c r="B31">
        <f t="shared" si="0"/>
        <v>7.25</v>
      </c>
      <c r="C31" s="3">
        <f t="shared" si="1"/>
        <v>0.18414999999999998</v>
      </c>
      <c r="D31" s="3">
        <f t="shared" si="2"/>
        <v>0.18494999999999998</v>
      </c>
      <c r="E31" s="3">
        <f>IF(C31&gt;'Weir dims'!$D$7, C31-'Weir dims'!$D$7, 0)</f>
        <v>0.13334999999999997</v>
      </c>
      <c r="F31" s="3">
        <f t="shared" si="3"/>
        <v>0.13414999999999996</v>
      </c>
      <c r="G31" s="11">
        <f>(8/15) * 'Weir dims'!$B$21 * ((2*9.81)^0.5)*(TAN(RADIANS(90)/2)) * ((D31^2.5) - (F31^2.5))</f>
        <v>1.110582186676441E-2</v>
      </c>
      <c r="H31" s="11">
        <f>(2/3) * 'Weir dims'!$B$22 * ((2*9.81)^0.5) * ('Weir dims'!$D$4  + 'Weir dims'!$D$5+(2*'Weir dims'!$D$8)) * (F31 ^1.5)</f>
        <v>3.2615290065758945E-2</v>
      </c>
      <c r="I31" s="3">
        <f t="shared" si="4"/>
        <v>4.7743454230315507E-2</v>
      </c>
      <c r="J31" s="3">
        <f t="shared" si="5"/>
        <v>756.75153321151367</v>
      </c>
      <c r="K31" s="9">
        <f t="shared" si="6"/>
        <v>1.6860441732502971</v>
      </c>
      <c r="L31" s="9"/>
      <c r="M31" s="11">
        <f>(8/15) * 'Weir dims'!$B$21 * ((2*9.81)^0.5)*(TAN(RADIANS(90)/2)) * (D31^2.5)</f>
        <v>2.0121605604418866E-2</v>
      </c>
      <c r="N31" s="3">
        <f t="shared" si="7"/>
        <v>318.93494380121098</v>
      </c>
      <c r="O31" s="9">
        <f t="shared" si="8"/>
        <v>0.71058779538890426</v>
      </c>
      <c r="Q31" s="11">
        <f>(2/3)*'Weir dims'!$B$22*((2*9.81)^0.5)*('Weir dims'!$D$4+'Weir dims'!$D$5+(2*'Weir dims'!$D$8))*(D31^1.5)</f>
        <v>5.2797910229872611E-2</v>
      </c>
      <c r="R31" s="3">
        <f t="shared" si="9"/>
        <v>836.86654350723393</v>
      </c>
      <c r="S31" s="9">
        <f t="shared" si="10"/>
        <v>1.8645406022244715</v>
      </c>
    </row>
    <row r="32" spans="1:19" x14ac:dyDescent="0.25">
      <c r="A32">
        <f t="shared" si="11"/>
        <v>7.5</v>
      </c>
      <c r="B32">
        <f t="shared" si="0"/>
        <v>7.5</v>
      </c>
      <c r="C32" s="3">
        <f t="shared" si="1"/>
        <v>0.1905</v>
      </c>
      <c r="D32" s="3">
        <f t="shared" si="2"/>
        <v>0.1913</v>
      </c>
      <c r="E32" s="3">
        <f>IF(C32&gt;'Weir dims'!$D$7, C32-'Weir dims'!$D$7, 0)</f>
        <v>0.13969999999999999</v>
      </c>
      <c r="F32" s="3">
        <f t="shared" si="3"/>
        <v>0.14049999999999999</v>
      </c>
      <c r="G32" s="11">
        <f>(8/15) * 'Weir dims'!$B$21 * ((2*9.81)^0.5)*(TAN(RADIANS(90)/2)) * ((D32^2.5) - (F32^2.5))</f>
        <v>1.1772586390531074E-2</v>
      </c>
      <c r="H32" s="11">
        <f>(2/3) * 'Weir dims'!$B$22 * ((2*9.81)^0.5) * ('Weir dims'!$D$4  + 'Weir dims'!$D$5+(2*'Weir dims'!$D$8)) * (F32 ^1.5)</f>
        <v>3.4958252599707945E-2</v>
      </c>
      <c r="I32" s="3">
        <f t="shared" si="4"/>
        <v>5.1030076177341011E-2</v>
      </c>
      <c r="J32" s="3">
        <f t="shared" si="5"/>
        <v>808.8457152851455</v>
      </c>
      <c r="K32" s="9">
        <f t="shared" si="6"/>
        <v>1.8021101318784076</v>
      </c>
      <c r="L32" s="9"/>
      <c r="M32" s="11">
        <f>(8/15) * 'Weir dims'!$B$21 * ((2*9.81)^0.5)*(TAN(RADIANS(90)/2)) * (D32^2.5)</f>
        <v>2.1893450734531927E-2</v>
      </c>
      <c r="N32" s="3">
        <f t="shared" si="7"/>
        <v>347.01934909702675</v>
      </c>
      <c r="O32" s="9">
        <f t="shared" si="8"/>
        <v>0.77315991560286512</v>
      </c>
      <c r="Q32" s="11">
        <f>(2/3)*'Weir dims'!$B$22*((2*9.81)^0.5)*('Weir dims'!$D$4+'Weir dims'!$D$5+(2*'Weir dims'!$D$8))*(D32^1.5)</f>
        <v>5.5540231398018405E-2</v>
      </c>
      <c r="R32" s="3">
        <f t="shared" si="9"/>
        <v>880.33335549242543</v>
      </c>
      <c r="S32" s="9">
        <f t="shared" si="10"/>
        <v>1.9613847602618948</v>
      </c>
    </row>
    <row r="33" spans="1:19" x14ac:dyDescent="0.25">
      <c r="A33">
        <f t="shared" si="11"/>
        <v>7.75</v>
      </c>
      <c r="B33">
        <f t="shared" si="0"/>
        <v>7.75</v>
      </c>
      <c r="C33" s="3">
        <f t="shared" si="1"/>
        <v>0.19685</v>
      </c>
      <c r="D33" s="3">
        <f t="shared" si="2"/>
        <v>0.19764999999999999</v>
      </c>
      <c r="E33" s="3">
        <f>IF(C33&gt;'Weir dims'!$D$7, C33-'Weir dims'!$D$7, 0)</f>
        <v>0.14605000000000001</v>
      </c>
      <c r="F33" s="3">
        <f t="shared" si="3"/>
        <v>0.14685000000000001</v>
      </c>
      <c r="G33" s="11">
        <f>(8/15) * 'Weir dims'!$B$21 * ((2*9.81)^0.5)*(TAN(RADIANS(90)/2)) * ((D33^2.5) - (F33^2.5))</f>
        <v>1.2452288134304088E-2</v>
      </c>
      <c r="H33" s="11">
        <f>(2/3) * 'Weir dims'!$B$22 * ((2*9.81)^0.5) * ('Weir dims'!$D$4  + 'Weir dims'!$D$5+(2*'Weir dims'!$D$8)) * (F33 ^1.5)</f>
        <v>3.7354777685021781E-2</v>
      </c>
      <c r="I33" s="3">
        <f t="shared" si="4"/>
        <v>5.4389315874703852E-2</v>
      </c>
      <c r="J33" s="3">
        <f t="shared" si="5"/>
        <v>862.09091575055618</v>
      </c>
      <c r="K33" s="9">
        <f t="shared" si="6"/>
        <v>1.9207405621561853</v>
      </c>
      <c r="L33" s="9"/>
      <c r="M33" s="11">
        <f>(8/15) * 'Weir dims'!$B$21 * ((2*9.81)^0.5)*(TAN(RADIANS(90)/2)) * (D33^2.5)</f>
        <v>2.3755755123630349E-2</v>
      </c>
      <c r="N33" s="3">
        <f t="shared" si="7"/>
        <v>376.53756734236487</v>
      </c>
      <c r="O33" s="9">
        <f t="shared" si="8"/>
        <v>0.83892657439782303</v>
      </c>
      <c r="Q33" s="11">
        <f>(2/3)*'Weir dims'!$B$22*((2*9.81)^0.5)*('Weir dims'!$D$4+'Weir dims'!$D$5+(2*'Weir dims'!$D$8))*(D33^1.5)</f>
        <v>5.8328452956094984E-2</v>
      </c>
      <c r="R33" s="3">
        <f t="shared" si="9"/>
        <v>924.52770575516934</v>
      </c>
      <c r="S33" s="9">
        <f t="shared" si="10"/>
        <v>2.0598498752711238</v>
      </c>
    </row>
    <row r="34" spans="1:19" x14ac:dyDescent="0.25">
      <c r="A34">
        <f t="shared" si="11"/>
        <v>8</v>
      </c>
      <c r="B34">
        <f t="shared" si="0"/>
        <v>8</v>
      </c>
      <c r="C34" s="3">
        <f t="shared" si="1"/>
        <v>0.20319999999999999</v>
      </c>
      <c r="D34" s="3">
        <f t="shared" si="2"/>
        <v>0.20399999999999999</v>
      </c>
      <c r="E34" s="3">
        <f>IF(C34&gt;'Weir dims'!$D$7, C34-'Weir dims'!$D$7, 0)</f>
        <v>0.15239999999999998</v>
      </c>
      <c r="F34" s="3">
        <f t="shared" si="3"/>
        <v>0.15319999999999998</v>
      </c>
      <c r="G34" s="11">
        <f>(8/15) * 'Weir dims'!$B$21 * ((2*9.81)^0.5)*(TAN(RADIANS(90)/2)) * ((D34^2.5) - (F34^2.5))</f>
        <v>1.3144683565372944E-2</v>
      </c>
      <c r="H34" s="11">
        <f>(2/3) * 'Weir dims'!$B$22 * ((2*9.81)^0.5) * ('Weir dims'!$D$4  + 'Weir dims'!$D$5+(2*'Weir dims'!$D$8)) * (F34 ^1.5)</f>
        <v>3.9803693898003804E-2</v>
      </c>
      <c r="I34" s="3">
        <f t="shared" si="4"/>
        <v>5.781962819000741E-2</v>
      </c>
      <c r="J34" s="3">
        <f t="shared" si="5"/>
        <v>916.46264368372283</v>
      </c>
      <c r="K34" s="9">
        <f t="shared" si="6"/>
        <v>2.0418808982480359</v>
      </c>
      <c r="L34" s="9"/>
      <c r="M34" s="11">
        <f>(8/15) * 'Weir dims'!$B$21 * ((2*9.81)^0.5)*(TAN(RADIANS(90)/2)) * (D34^2.5)</f>
        <v>2.5710007998295582E-2</v>
      </c>
      <c r="N34" s="3">
        <f t="shared" si="7"/>
        <v>407.51320333325384</v>
      </c>
      <c r="O34" s="9">
        <f t="shared" si="8"/>
        <v>0.90794036331414252</v>
      </c>
      <c r="Q34" s="11">
        <f>(2/3)*'Weir dims'!$B$22*((2*9.81)^0.5)*('Weir dims'!$D$4+'Weir dims'!$D$5+(2*'Weir dims'!$D$8))*(D34^1.5)</f>
        <v>6.1161831355795011E-2</v>
      </c>
      <c r="R34" s="3">
        <f t="shared" si="9"/>
        <v>969.43780877783479</v>
      </c>
      <c r="S34" s="9">
        <f t="shared" si="10"/>
        <v>2.1599096890915099</v>
      </c>
    </row>
    <row r="35" spans="1:19" x14ac:dyDescent="0.25">
      <c r="A35">
        <f t="shared" si="11"/>
        <v>8.25</v>
      </c>
      <c r="B35">
        <f t="shared" si="0"/>
        <v>8.25</v>
      </c>
      <c r="C35" s="3">
        <f t="shared" si="1"/>
        <v>0.20954999999999999</v>
      </c>
      <c r="D35" s="3">
        <f t="shared" si="2"/>
        <v>0.21034999999999998</v>
      </c>
      <c r="E35" s="3">
        <f>IF(C35&gt;'Weir dims'!$D$7, C35-'Weir dims'!$D$7, 0)</f>
        <v>0.15875</v>
      </c>
      <c r="F35" s="3">
        <f t="shared" si="3"/>
        <v>0.15955</v>
      </c>
      <c r="G35" s="11">
        <f>(8/15) * 'Weir dims'!$B$21 * ((2*9.81)^0.5)*(TAN(RADIANS(90)/2)) * ((D35^2.5) - (F35^2.5))</f>
        <v>1.3849542501300391E-2</v>
      </c>
      <c r="H35" s="11">
        <f>(2/3) * 'Weir dims'!$B$22 * ((2*9.81)^0.5) * ('Weir dims'!$D$4  + 'Weir dims'!$D$5+(2*'Weir dims'!$D$8)) * (F35 ^1.5)</f>
        <v>4.230390347882676E-2</v>
      </c>
      <c r="I35" s="3">
        <f t="shared" si="4"/>
        <v>6.1319563010298853E-2</v>
      </c>
      <c r="J35" s="3">
        <f t="shared" si="5"/>
        <v>971.93791425419931</v>
      </c>
      <c r="K35" s="9">
        <f t="shared" si="6"/>
        <v>2.1654799298983525</v>
      </c>
      <c r="L35" s="9"/>
      <c r="M35" s="11">
        <f>(8/15) * 'Weir dims'!$B$21 * ((2*9.81)^0.5)*(TAN(RADIANS(90)/2)) * (D35^2.5)</f>
        <v>2.775767484251521E-2</v>
      </c>
      <c r="N35" s="3">
        <f t="shared" si="7"/>
        <v>439.969485536766</v>
      </c>
      <c r="O35" s="9">
        <f t="shared" si="8"/>
        <v>0.98025303543039954</v>
      </c>
      <c r="Q35" s="11">
        <f>(2/3)*'Weir dims'!$B$22*((2*9.81)^0.5)*('Weir dims'!$D$4+'Weir dims'!$D$5+(2*'Weir dims'!$D$8))*(D35^1.5)</f>
        <v>6.4039658056633517E-2</v>
      </c>
      <c r="R35" s="3">
        <f t="shared" si="9"/>
        <v>1015.052433929815</v>
      </c>
      <c r="S35" s="9">
        <f t="shared" si="10"/>
        <v>2.2615391798519822</v>
      </c>
    </row>
    <row r="36" spans="1:19" x14ac:dyDescent="0.25">
      <c r="A36">
        <f t="shared" si="11"/>
        <v>8.5</v>
      </c>
      <c r="B36">
        <f t="shared" si="0"/>
        <v>8.5</v>
      </c>
      <c r="C36" s="3">
        <f t="shared" si="1"/>
        <v>0.21589999999999998</v>
      </c>
      <c r="D36" s="3">
        <f t="shared" si="2"/>
        <v>0.21669999999999998</v>
      </c>
      <c r="E36" s="3">
        <f>IF(C36&gt;'Weir dims'!$D$7, C36-'Weir dims'!$D$7, 0)</f>
        <v>0.16509999999999997</v>
      </c>
      <c r="F36" s="3">
        <f t="shared" si="3"/>
        <v>0.16589999999999996</v>
      </c>
      <c r="G36" s="11">
        <f>(8/15) * 'Weir dims'!$B$21 * ((2*9.81)^0.5)*(TAN(RADIANS(90)/2)) * ((D36^2.5) - (F36^2.5))</f>
        <v>1.456664692527126E-2</v>
      </c>
      <c r="H36" s="11">
        <f>(2/3) * 'Weir dims'!$B$22 * ((2*9.81)^0.5) * ('Weir dims'!$D$4  + 'Weir dims'!$D$5+(2*'Weir dims'!$D$8)) * (F36 ^1.5)</f>
        <v>4.4854374919201162E-2</v>
      </c>
      <c r="I36" s="3">
        <f t="shared" si="4"/>
        <v>6.4887755854163884E-2</v>
      </c>
      <c r="J36" s="3">
        <f t="shared" si="5"/>
        <v>1028.495099923322</v>
      </c>
      <c r="K36" s="9">
        <f t="shared" si="6"/>
        <v>2.2914894709007712</v>
      </c>
      <c r="L36" s="9"/>
      <c r="M36" s="11">
        <f>(8/15) * 'Weir dims'!$B$21 * ((2*9.81)^0.5)*(TAN(RADIANS(90)/2)) * (D36^2.5)</f>
        <v>2.990019849847746E-2</v>
      </c>
      <c r="N36" s="3">
        <f t="shared" si="7"/>
        <v>473.92928353901993</v>
      </c>
      <c r="O36" s="9">
        <f t="shared" si="8"/>
        <v>1.0559155442375718</v>
      </c>
      <c r="Q36" s="11">
        <f>(2/3)*'Weir dims'!$B$22*((2*9.81)^0.5)*('Weir dims'!$D$4+'Weir dims'!$D$5+(2*'Weir dims'!$D$8))*(D36^1.5)</f>
        <v>6.6961256861964941E-2</v>
      </c>
      <c r="R36" s="3">
        <f t="shared" si="9"/>
        <v>1061.3608632424059</v>
      </c>
      <c r="S36" s="9">
        <f t="shared" si="10"/>
        <v>2.3647144678933794</v>
      </c>
    </row>
    <row r="37" spans="1:19" x14ac:dyDescent="0.25">
      <c r="A37">
        <f>A36+0.25</f>
        <v>8.75</v>
      </c>
      <c r="B37">
        <f t="shared" si="0"/>
        <v>8.75</v>
      </c>
      <c r="C37" s="3">
        <f t="shared" si="1"/>
        <v>0.22225</v>
      </c>
      <c r="D37" s="3">
        <f t="shared" si="2"/>
        <v>0.22305</v>
      </c>
      <c r="E37" s="3">
        <f>IF(C37&gt;'Weir dims'!$D$7, C37-'Weir dims'!$D$7, 0)</f>
        <v>0.17144999999999999</v>
      </c>
      <c r="F37" s="3">
        <f t="shared" si="3"/>
        <v>0.17224999999999999</v>
      </c>
      <c r="G37" s="11">
        <f>(8/15) * 'Weir dims'!$B$21 * ((2*9.81)^0.5)*(TAN(RADIANS(90)/2)) * ((D37^2.5) - (F37^2.5))</f>
        <v>1.5295789944443859E-2</v>
      </c>
      <c r="H37" s="11">
        <f>(2/3) * 'Weir dims'!$B$22 * ((2*9.81)^0.5) * ('Weir dims'!$D$4  + 'Weir dims'!$D$5+(2*'Weir dims'!$D$8)) * (F37 ^1.5)</f>
        <v>4.7454136554153557E-2</v>
      </c>
      <c r="I37" s="3">
        <f t="shared" si="4"/>
        <v>6.8522919736468374E-2</v>
      </c>
      <c r="J37" s="3">
        <f t="shared" si="5"/>
        <v>1086.1138014973337</v>
      </c>
      <c r="K37" s="9">
        <f t="shared" si="6"/>
        <v>2.4198640718042324</v>
      </c>
      <c r="L37" s="9"/>
      <c r="M37" s="11">
        <f>(8/15) * 'Weir dims'!$B$21 * ((2*9.81)^0.5)*(TAN(RADIANS(90)/2)) * (D37^2.5)</f>
        <v>3.2139000184832685E-2</v>
      </c>
      <c r="N37" s="3">
        <f t="shared" si="7"/>
        <v>509.41512418500457</v>
      </c>
      <c r="O37" s="9">
        <f t="shared" si="8"/>
        <v>1.1349780795986046</v>
      </c>
      <c r="Q37" s="11">
        <f>(2/3)*'Weir dims'!$B$22*((2*9.81)^0.5)*('Weir dims'!$D$4+'Weir dims'!$D$5+(2*'Weir dims'!$D$8))*(D37^1.5)</f>
        <v>6.9925981530475217E-2</v>
      </c>
      <c r="R37" s="3">
        <f t="shared" si="9"/>
        <v>1108.352853550065</v>
      </c>
      <c r="S37" s="9">
        <f t="shared" si="10"/>
        <v>2.4694127314190881</v>
      </c>
    </row>
    <row r="38" spans="1:19" x14ac:dyDescent="0.25">
      <c r="A38">
        <f t="shared" si="11"/>
        <v>9</v>
      </c>
      <c r="B38">
        <f t="shared" si="0"/>
        <v>9</v>
      </c>
      <c r="C38" s="3">
        <f t="shared" si="1"/>
        <v>0.2286</v>
      </c>
      <c r="D38" s="3">
        <f t="shared" si="2"/>
        <v>0.22939999999999999</v>
      </c>
      <c r="E38" s="3">
        <f>IF(C38&gt;'Weir dims'!$D$7, C38-'Weir dims'!$D$7, 0)</f>
        <v>0.17780000000000001</v>
      </c>
      <c r="F38" s="3">
        <f t="shared" si="3"/>
        <v>0.17860000000000001</v>
      </c>
      <c r="G38" s="11">
        <f>(8/15) * 'Weir dims'!$B$21 * ((2*9.81)^0.5)*(TAN(RADIANS(90)/2)) * ((D38^2.5) - (F38^2.5))</f>
        <v>1.6036774869728553E-2</v>
      </c>
      <c r="H38" s="11">
        <f>(2/3) * 'Weir dims'!$B$22 * ((2*9.81)^0.5) * ('Weir dims'!$D$4  + 'Weir dims'!$D$5+(2*'Weir dims'!$D$8)) * (F38 ^1.5)</f>
        <v>5.0102270989497197E-2</v>
      </c>
      <c r="I38" s="3">
        <f t="shared" si="4"/>
        <v>7.2223838078274524E-2</v>
      </c>
      <c r="J38" s="3">
        <f t="shared" si="5"/>
        <v>1144.7747357469148</v>
      </c>
      <c r="K38" s="9">
        <f t="shared" si="6"/>
        <v>2.5505607695290329</v>
      </c>
      <c r="L38" s="9"/>
      <c r="M38" s="11">
        <f>(8/15) * 'Weir dims'!$B$21 * ((2*9.81)^0.5)*(TAN(RADIANS(90)/2)) * (D38^2.5)</f>
        <v>3.4475480440835135E-2</v>
      </c>
      <c r="N38" s="3">
        <f t="shared" si="7"/>
        <v>546.44920654357804</v>
      </c>
      <c r="O38" s="9">
        <f t="shared" si="8"/>
        <v>1.2174901010904617</v>
      </c>
      <c r="Q38" s="11">
        <f>(2/3)*'Weir dims'!$B$22*((2*9.81)^0.5)*('Weir dims'!$D$4+'Weir dims'!$D$5+(2*'Weir dims'!$D$8))*(D38^1.5)</f>
        <v>7.2933213627569174E-2</v>
      </c>
      <c r="R38" s="3">
        <f t="shared" si="9"/>
        <v>1156.0186024341019</v>
      </c>
      <c r="S38" s="9">
        <f t="shared" si="10"/>
        <v>2.575612130617503</v>
      </c>
    </row>
    <row r="39" spans="1:19" x14ac:dyDescent="0.25">
      <c r="A39">
        <f t="shared" si="11"/>
        <v>9.25</v>
      </c>
      <c r="B39">
        <f t="shared" si="0"/>
        <v>9.25</v>
      </c>
      <c r="C39" s="3">
        <f t="shared" si="1"/>
        <v>0.23494999999999999</v>
      </c>
      <c r="D39" s="3">
        <f t="shared" si="2"/>
        <v>0.23574999999999999</v>
      </c>
      <c r="E39" s="3">
        <f>IF(C39&gt;'Weir dims'!$D$7, C39-'Weir dims'!$D$7, 0)</f>
        <v>0.18414999999999998</v>
      </c>
      <c r="F39" s="3">
        <f t="shared" si="3"/>
        <v>0.18494999999999998</v>
      </c>
      <c r="G39" s="11">
        <f>(8/15) * 'Weir dims'!$B$21 * ((2*9.81)^0.5)*(TAN(RADIANS(90)/2)) * ((D39^2.5) - (F39^2.5))</f>
        <v>1.6789414399287366E-2</v>
      </c>
      <c r="H39" s="11">
        <f>(2/3) * 'Weir dims'!$B$22 * ((2*9.81)^0.5) * ('Weir dims'!$D$4  + 'Weir dims'!$D$5+(2*'Weir dims'!$D$8)) * (F39 ^1.5)</f>
        <v>5.2797910229872611E-2</v>
      </c>
      <c r="I39" s="3">
        <f t="shared" si="4"/>
        <v>7.5989358495042708E-2</v>
      </c>
      <c r="J39" s="3">
        <f t="shared" si="5"/>
        <v>1204.4596369478672</v>
      </c>
      <c r="K39" s="9">
        <f t="shared" si="6"/>
        <v>2.6835388679992467</v>
      </c>
      <c r="L39" s="9"/>
      <c r="M39" s="11">
        <f>(8/15) * 'Weir dims'!$B$21 * ((2*9.81)^0.5)*(TAN(RADIANS(90)/2)) * (D39^2.5)</f>
        <v>3.6911020003706232E-2</v>
      </c>
      <c r="N39" s="3">
        <f t="shared" si="7"/>
        <v>585.05341581400182</v>
      </c>
      <c r="O39" s="9">
        <f t="shared" si="8"/>
        <v>1.3035003689879183</v>
      </c>
      <c r="Q39" s="11">
        <f>(2/3)*'Weir dims'!$B$22*((2*9.81)^0.5)*('Weir dims'!$D$4+'Weir dims'!$D$5+(2*'Weir dims'!$D$8))*(D39^1.5)</f>
        <v>7.5982360586533682E-2</v>
      </c>
      <c r="R39" s="3">
        <f t="shared" si="9"/>
        <v>1204.3487174913919</v>
      </c>
      <c r="S39" s="9">
        <f t="shared" si="10"/>
        <v>2.6832917391926534</v>
      </c>
    </row>
    <row r="40" spans="1:19" x14ac:dyDescent="0.25">
      <c r="A40">
        <f t="shared" si="11"/>
        <v>9.5</v>
      </c>
      <c r="B40">
        <f t="shared" si="0"/>
        <v>9.5</v>
      </c>
      <c r="C40" s="3">
        <f t="shared" si="1"/>
        <v>0.24129999999999999</v>
      </c>
      <c r="D40" s="3">
        <f t="shared" si="2"/>
        <v>0.24209999999999998</v>
      </c>
      <c r="E40" s="3">
        <f>IF(C40&gt;'Weir dims'!$D$7, C40-'Weir dims'!$D$7, 0)</f>
        <v>0.1905</v>
      </c>
      <c r="F40" s="3">
        <f t="shared" si="3"/>
        <v>0.1913</v>
      </c>
      <c r="G40" s="11">
        <f>(8/15) * 'Weir dims'!$B$21 * ((2*9.81)^0.5)*(TAN(RADIANS(90)/2)) * ((D40^2.5) - (F40^2.5))</f>
        <v>1.7553529891119291E-2</v>
      </c>
      <c r="H40" s="11">
        <f>(2/3) * 'Weir dims'!$B$22 * ((2*9.81)^0.5) * ('Weir dims'!$D$4  + 'Weir dims'!$D$5+(2*'Weir dims'!$D$8)) * (F40 ^1.5)</f>
        <v>5.5540231398018405E-2</v>
      </c>
      <c r="I40" s="3">
        <f t="shared" si="4"/>
        <v>7.9818387327738369E-2</v>
      </c>
      <c r="J40" s="3">
        <f t="shared" si="5"/>
        <v>1265.1511701971235</v>
      </c>
      <c r="K40" s="9">
        <f t="shared" si="6"/>
        <v>2.8187597450105839</v>
      </c>
      <c r="L40" s="9"/>
      <c r="M40" s="11">
        <f>(8/15) * 'Weir dims'!$B$21 * ((2*9.81)^0.5)*(TAN(RADIANS(90)/2)) * (D40^2.5)</f>
        <v>3.9446980625651218E-2</v>
      </c>
      <c r="N40" s="3">
        <f t="shared" si="7"/>
        <v>625.24933627595976</v>
      </c>
      <c r="O40" s="9">
        <f t="shared" si="8"/>
        <v>1.3930569731162301</v>
      </c>
      <c r="Q40" s="11">
        <f>(2/3)*'Weir dims'!$B$22*((2*9.81)^0.5)*('Weir dims'!$D$4+'Weir dims'!$D$5+(2*'Weir dims'!$D$8))*(D40^1.5)</f>
        <v>7.9072853953854966E-2</v>
      </c>
      <c r="R40" s="3">
        <f t="shared" si="9"/>
        <v>1253.3341885220025</v>
      </c>
      <c r="S40" s="9">
        <f t="shared" si="10"/>
        <v>2.7924314823981651</v>
      </c>
    </row>
    <row r="41" spans="1:19" x14ac:dyDescent="0.25">
      <c r="A41">
        <f t="shared" si="11"/>
        <v>9.75</v>
      </c>
      <c r="B41">
        <f t="shared" si="0"/>
        <v>9.75</v>
      </c>
      <c r="C41" s="3">
        <f t="shared" si="1"/>
        <v>0.24764999999999998</v>
      </c>
      <c r="D41" s="3">
        <f t="shared" si="2"/>
        <v>0.24844999999999998</v>
      </c>
      <c r="E41" s="3">
        <f>IF(C41&gt;'Weir dims'!$D$7, C41-'Weir dims'!$D$7, 0)</f>
        <v>0.19684999999999997</v>
      </c>
      <c r="F41" s="3">
        <f t="shared" si="3"/>
        <v>0.19764999999999996</v>
      </c>
      <c r="G41" s="11">
        <f>(8/15) * 'Weir dims'!$B$21 * ((2*9.81)^0.5)*(TAN(RADIANS(90)/2)) * ((D41^2.5) - (F41^2.5))</f>
        <v>1.8328950712555709E-2</v>
      </c>
      <c r="H41" s="11">
        <f>(2/3) * 'Weir dims'!$B$22 * ((2*9.81)^0.5) * ('Weir dims'!$D$4  + 'Weir dims'!$D$5+(2*'Weir dims'!$D$8)) * (F41 ^1.5)</f>
        <v>5.8328452956094984E-2</v>
      </c>
      <c r="I41" s="3">
        <f t="shared" si="4"/>
        <v>8.3709884806166562E-2</v>
      </c>
      <c r="J41" s="3">
        <f t="shared" si="5"/>
        <v>1326.8328547497958</v>
      </c>
      <c r="K41" s="9">
        <f t="shared" si="6"/>
        <v>2.9561866814251658</v>
      </c>
      <c r="L41" s="9"/>
      <c r="M41" s="11">
        <f>(8/15) * 'Weir dims'!$B$21 * ((2*9.81)^0.5)*(TAN(RADIANS(90)/2)) * (D41^2.5)</f>
        <v>4.2084705836186058E-2</v>
      </c>
      <c r="N41" s="3">
        <f t="shared" si="7"/>
        <v>667.05826337272276</v>
      </c>
      <c r="O41" s="9">
        <f t="shared" si="8"/>
        <v>1.4862073597724552</v>
      </c>
      <c r="Q41" s="11">
        <f>(2/3)*'Weir dims'!$B$22*((2*9.81)^0.5)*('Weir dims'!$D$4+'Weir dims'!$D$5+(2*'Weir dims'!$D$8))*(D41^1.5)</f>
        <v>8.2204147796791444E-2</v>
      </c>
      <c r="R41" s="3">
        <f t="shared" si="9"/>
        <v>1302.966362288628</v>
      </c>
      <c r="S41" s="9">
        <f t="shared" si="10"/>
        <v>2.9030120808012287</v>
      </c>
    </row>
    <row r="42" spans="1:19" x14ac:dyDescent="0.25">
      <c r="A42">
        <f t="shared" si="11"/>
        <v>10</v>
      </c>
      <c r="B42">
        <f t="shared" si="0"/>
        <v>10</v>
      </c>
      <c r="C42" s="3">
        <f t="shared" si="1"/>
        <v>0.254</v>
      </c>
      <c r="D42" s="3">
        <f t="shared" si="2"/>
        <v>0.25480000000000003</v>
      </c>
      <c r="E42" s="3">
        <f>IF(C42&gt;'Weir dims'!$D$7, C42-'Weir dims'!$D$7, 0)</f>
        <v>0.20319999999999999</v>
      </c>
      <c r="F42" s="3">
        <f t="shared" si="3"/>
        <v>0.20399999999999999</v>
      </c>
      <c r="G42" s="11">
        <f>(8/15) * 'Weir dims'!$B$21 * ((2*9.81)^0.5)*(TAN(RADIANS(90)/2)) * ((D42^2.5) - (F42^2.5))</f>
        <v>1.9115513656471184E-2</v>
      </c>
      <c r="H42" s="11">
        <f>(2/3) * 'Weir dims'!$B$22 * ((2*9.81)^0.5) * ('Weir dims'!$D$4  + 'Weir dims'!$D$5+(2*'Weir dims'!$D$8)) * (F42 ^1.5)</f>
        <v>6.1161831355795011E-2</v>
      </c>
      <c r="I42" s="3">
        <f t="shared" si="4"/>
        <v>8.7662860753394689E-2</v>
      </c>
      <c r="J42" s="3">
        <f t="shared" si="5"/>
        <v>1389.4889959326781</v>
      </c>
      <c r="K42" s="9">
        <f t="shared" si="6"/>
        <v>3.095784709474644</v>
      </c>
      <c r="L42" s="9"/>
      <c r="M42" s="11">
        <f>(8/15) * 'Weir dims'!$B$21 * ((2*9.81)^0.5)*(TAN(RADIANS(90)/2)) * (D42^2.5)</f>
        <v>4.4825521654766769E-2</v>
      </c>
      <c r="N42" s="3">
        <f t="shared" si="7"/>
        <v>710.50121500658952</v>
      </c>
      <c r="O42" s="9">
        <f t="shared" si="8"/>
        <v>1.5829983568917207</v>
      </c>
      <c r="Q42" s="11">
        <f>(2/3)*'Weir dims'!$B$22*((2*9.81)^0.5)*('Weir dims'!$D$4+'Weir dims'!$D$5+(2*'Weir dims'!$D$8))*(D42^1.5)</f>
        <v>8.5375717254406458E-2</v>
      </c>
      <c r="R42" s="3">
        <f t="shared" si="9"/>
        <v>1353.2369195499205</v>
      </c>
      <c r="S42" s="9">
        <f t="shared" si="10"/>
        <v>3.015014999112803</v>
      </c>
    </row>
    <row r="43" spans="1:19" x14ac:dyDescent="0.25">
      <c r="A43">
        <f t="shared" si="11"/>
        <v>10.25</v>
      </c>
      <c r="B43">
        <f t="shared" si="0"/>
        <v>10.25</v>
      </c>
      <c r="C43" s="3">
        <f t="shared" si="1"/>
        <v>0.26034999999999997</v>
      </c>
      <c r="D43" s="3">
        <f t="shared" si="2"/>
        <v>0.26114999999999999</v>
      </c>
      <c r="E43" s="3">
        <f>IF(C43&gt;'Weir dims'!$D$7, C43-'Weir dims'!$D$7, 0)</f>
        <v>0.20954999999999996</v>
      </c>
      <c r="F43" s="3">
        <f t="shared" si="3"/>
        <v>0.21034999999999995</v>
      </c>
      <c r="G43" s="11">
        <f>(8/15) * 'Weir dims'!$B$21 * ((2*9.81)^0.5)*(TAN(RADIANS(90)/2)) * ((D43^2.5) - (F43^2.5))</f>
        <v>1.9913062415627673E-2</v>
      </c>
      <c r="H43" s="11">
        <f>(2/3) * 'Weir dims'!$B$22 * ((2*9.81)^0.5) * ('Weir dims'!$D$4  + 'Weir dims'!$D$5+(2*'Weir dims'!$D$8)) * (F43 ^1.5)</f>
        <v>6.4039658056633517E-2</v>
      </c>
      <c r="I43" s="3">
        <f t="shared" si="4"/>
        <v>9.1676370755709224E-2</v>
      </c>
      <c r="J43" s="3">
        <f t="shared" si="5"/>
        <v>1453.1046244366319</v>
      </c>
      <c r="K43" s="9">
        <f t="shared" si="6"/>
        <v>3.237520477503498</v>
      </c>
      <c r="L43" s="9"/>
      <c r="M43" s="11">
        <f>(8/15) * 'Weir dims'!$B$21 * ((2*9.81)^0.5)*(TAN(RADIANS(90)/2)) * (D43^2.5)</f>
        <v>4.7670737258142887E-2</v>
      </c>
      <c r="N43" s="3">
        <f t="shared" si="7"/>
        <v>755.598942116687</v>
      </c>
      <c r="O43" s="9">
        <f t="shared" si="8"/>
        <v>1.6834761976145878</v>
      </c>
      <c r="Q43" s="11">
        <f>(2/3)*'Weir dims'!$B$22*((2*9.81)^0.5)*('Weir dims'!$D$4+'Weir dims'!$D$5+(2*'Weir dims'!$D$8))*(D43^1.5)</f>
        <v>8.8587057215857912E-2</v>
      </c>
      <c r="R43" s="3">
        <f t="shared" si="9"/>
        <v>1404.137854110887</v>
      </c>
      <c r="S43" s="9">
        <f t="shared" si="10"/>
        <v>3.1284223995118516</v>
      </c>
    </row>
    <row r="44" spans="1:19" x14ac:dyDescent="0.25">
      <c r="A44">
        <f t="shared" si="11"/>
        <v>10.5</v>
      </c>
      <c r="B44">
        <f t="shared" si="0"/>
        <v>10.5</v>
      </c>
      <c r="C44" s="3">
        <f t="shared" si="1"/>
        <v>0.26669999999999999</v>
      </c>
      <c r="D44" s="3">
        <f t="shared" si="2"/>
        <v>0.26750000000000002</v>
      </c>
      <c r="E44" s="3">
        <f>IF(C44&gt;'Weir dims'!$D$7, C44-'Weir dims'!$D$7, 0)</f>
        <v>0.21589999999999998</v>
      </c>
      <c r="F44" s="3">
        <f t="shared" si="3"/>
        <v>0.21669999999999998</v>
      </c>
      <c r="G44" s="11">
        <f>(8/15) * 'Weir dims'!$B$21 * ((2*9.81)^0.5)*(TAN(RADIANS(90)/2)) * ((D44^2.5) - (F44^2.5))</f>
        <v>2.0721447107885559E-2</v>
      </c>
      <c r="H44" s="11">
        <f>(2/3) * 'Weir dims'!$B$22 * ((2*9.81)^0.5) * ('Weir dims'!$D$4  + 'Weir dims'!$D$5+(2*'Weir dims'!$D$8)) * (F44 ^1.5)</f>
        <v>6.6961256861964941E-2</v>
      </c>
      <c r="I44" s="3">
        <f t="shared" si="4"/>
        <v>9.5749512735076758E-2</v>
      </c>
      <c r="J44" s="3">
        <f t="shared" si="5"/>
        <v>1517.6654419888182</v>
      </c>
      <c r="K44" s="9">
        <f t="shared" si="6"/>
        <v>3.3813621289266407</v>
      </c>
      <c r="L44" s="9"/>
      <c r="M44" s="11">
        <f>(8/15) * 'Weir dims'!$B$21 * ((2*9.81)^0.5)*(TAN(RADIANS(90)/2)) * (D44^2.5)</f>
        <v>5.0621645606363015E-2</v>
      </c>
      <c r="N44" s="3">
        <f t="shared" si="7"/>
        <v>802.37193860139234</v>
      </c>
      <c r="O44" s="9">
        <f t="shared" si="8"/>
        <v>1.7876865423942292</v>
      </c>
      <c r="Q44" s="11">
        <f>(2/3)*'Weir dims'!$B$22*((2*9.81)^0.5)*('Weir dims'!$D$4+'Weir dims'!$D$5+(2*'Weir dims'!$D$8))*(D44^1.5)</f>
        <v>9.1837681111926375E-2</v>
      </c>
      <c r="R44" s="3">
        <f t="shared" si="9"/>
        <v>1455.6614536681604</v>
      </c>
      <c r="S44" s="9">
        <f t="shared" si="10"/>
        <v>3.2432170989685649</v>
      </c>
    </row>
    <row r="45" spans="1:19" x14ac:dyDescent="0.25">
      <c r="A45">
        <f t="shared" si="11"/>
        <v>10.75</v>
      </c>
      <c r="B45">
        <f t="shared" si="0"/>
        <v>10.75</v>
      </c>
      <c r="C45" s="3">
        <f t="shared" si="1"/>
        <v>0.27305000000000001</v>
      </c>
      <c r="D45" s="3">
        <f t="shared" si="2"/>
        <v>0.27385000000000004</v>
      </c>
      <c r="E45" s="3">
        <f>IF(C45&gt;'Weir dims'!$D$7, C45-'Weir dims'!$D$7, 0)</f>
        <v>0.22225</v>
      </c>
      <c r="F45" s="3">
        <f t="shared" si="3"/>
        <v>0.22305</v>
      </c>
      <c r="G45" s="11">
        <f>(8/15) * 'Weir dims'!$B$21 * ((2*9.81)^0.5)*(TAN(RADIANS(90)/2)) * ((D45^2.5) - (F45^2.5))</f>
        <v>2.1540523846100015E-2</v>
      </c>
      <c r="H45" s="11">
        <f>(2/3) * 'Weir dims'!$B$22 * ((2*9.81)^0.5) * ('Weir dims'!$D$4  + 'Weir dims'!$D$5+(2*'Weir dims'!$D$8)) * (F45 ^1.5)</f>
        <v>6.9925981530475217E-2</v>
      </c>
      <c r="I45" s="3">
        <f t="shared" si="4"/>
        <v>9.9881423871220162E-2</v>
      </c>
      <c r="J45" s="3">
        <f t="shared" si="5"/>
        <v>1583.1577725664581</v>
      </c>
      <c r="K45" s="9">
        <f t="shared" si="6"/>
        <v>3.5272791935335635</v>
      </c>
      <c r="L45" s="9"/>
      <c r="M45" s="11">
        <f>(8/15) * 'Weir dims'!$B$21 * ((2*9.81)^0.5)*(TAN(RADIANS(90)/2)) * (D45^2.5)</f>
        <v>5.36795240309327E-2</v>
      </c>
      <c r="N45" s="3">
        <f t="shared" si="7"/>
        <v>850.84045064085365</v>
      </c>
      <c r="O45" s="9">
        <f t="shared" si="8"/>
        <v>1.8956744997670285</v>
      </c>
      <c r="Q45" s="11">
        <f>(2/3)*'Weir dims'!$B$22*((2*9.81)^0.5)*('Weir dims'!$D$4+'Weir dims'!$D$5+(2*'Weir dims'!$D$8))*(D45^1.5)</f>
        <v>9.5127119807603105E-2</v>
      </c>
      <c r="R45" s="3">
        <f t="shared" si="9"/>
        <v>1507.8002822571073</v>
      </c>
      <c r="S45" s="9">
        <f t="shared" si="10"/>
        <v>3.3593825301364713</v>
      </c>
    </row>
    <row r="46" spans="1:19" x14ac:dyDescent="0.25">
      <c r="A46">
        <f t="shared" si="11"/>
        <v>11</v>
      </c>
      <c r="B46">
        <f t="shared" si="0"/>
        <v>11</v>
      </c>
      <c r="C46" s="3">
        <f t="shared" si="1"/>
        <v>0.27939999999999998</v>
      </c>
      <c r="D46" s="3">
        <f t="shared" si="2"/>
        <v>0.2802</v>
      </c>
      <c r="E46" s="3">
        <f>IF(C46&gt;'Weir dims'!$D$7, C46-'Weir dims'!$D$7, 0)</f>
        <v>0.22859999999999997</v>
      </c>
      <c r="F46" s="3">
        <f t="shared" si="3"/>
        <v>0.22939999999999997</v>
      </c>
      <c r="G46" s="11">
        <f>(8/15) * 'Weir dims'!$B$21 * ((2*9.81)^0.5)*(TAN(RADIANS(90)/2)) * ((D46^2.5) - (F46^2.5))</f>
        <v>2.2370154347418222E-2</v>
      </c>
      <c r="H46" s="11">
        <f>(2/3) * 'Weir dims'!$B$22 * ((2*9.81)^0.5) * ('Weir dims'!$D$4  + 'Weir dims'!$D$5+(2*'Weir dims'!$D$8)) * (F46 ^1.5)</f>
        <v>7.2933213627569146E-2</v>
      </c>
      <c r="I46" s="3">
        <f t="shared" si="4"/>
        <v>0.10407127782868622</v>
      </c>
      <c r="J46" s="3">
        <f t="shared" si="5"/>
        <v>1649.5685184448218</v>
      </c>
      <c r="K46" s="9">
        <f t="shared" si="6"/>
        <v>3.675242489563153</v>
      </c>
      <c r="L46" s="9"/>
      <c r="M46" s="11">
        <f>(8/15) * 'Weir dims'!$B$21 * ((2*9.81)^0.5)*(TAN(RADIANS(90)/2)) * (D46^2.5)</f>
        <v>5.6845634788253344E-2</v>
      </c>
      <c r="N46" s="3">
        <f t="shared" si="7"/>
        <v>901.02448546920311</v>
      </c>
      <c r="O46" s="9">
        <f t="shared" si="8"/>
        <v>2.0074846458970916</v>
      </c>
      <c r="Q46" s="11">
        <f>(2/3)*'Weir dims'!$B$22*((2*9.81)^0.5)*('Weir dims'!$D$4+'Weir dims'!$D$5+(2*'Weir dims'!$D$8))*(D46^1.5)</f>
        <v>9.8454920585125755E-2</v>
      </c>
      <c r="R46" s="3">
        <f t="shared" si="9"/>
        <v>1560.5471641325641</v>
      </c>
      <c r="S46" s="9">
        <f t="shared" si="10"/>
        <v>3.4769027054386847</v>
      </c>
    </row>
    <row r="47" spans="1:19" x14ac:dyDescent="0.25">
      <c r="A47">
        <f t="shared" si="11"/>
        <v>11.25</v>
      </c>
      <c r="B47">
        <f t="shared" si="0"/>
        <v>11.25</v>
      </c>
      <c r="C47" s="3">
        <f t="shared" si="1"/>
        <v>0.28575</v>
      </c>
      <c r="D47" s="3">
        <f t="shared" si="2"/>
        <v>0.28655000000000003</v>
      </c>
      <c r="E47" s="3">
        <f>IF(C47&gt;'Weir dims'!$D$7, C47-'Weir dims'!$D$7, 0)</f>
        <v>0.23494999999999999</v>
      </c>
      <c r="F47" s="3">
        <f t="shared" si="3"/>
        <v>0.23574999999999999</v>
      </c>
      <c r="G47" s="11">
        <f>(8/15) * 'Weir dims'!$B$21 * ((2*9.81)^0.5)*(TAN(RADIANS(90)/2)) * ((D47^2.5) - (F47^2.5))</f>
        <v>2.3210205577439257E-2</v>
      </c>
      <c r="H47" s="11">
        <f>(2/3) * 'Weir dims'!$B$22 * ((2*9.81)^0.5) * ('Weir dims'!$D$4  + 'Weir dims'!$D$5+(2*'Weir dims'!$D$8)) * (F47 ^1.5)</f>
        <v>7.5982360586533682E-2</v>
      </c>
      <c r="I47" s="3">
        <f t="shared" si="4"/>
        <v>0.10831828225105847</v>
      </c>
      <c r="J47" s="3">
        <f t="shared" si="5"/>
        <v>1716.8851204795683</v>
      </c>
      <c r="K47" s="9">
        <f t="shared" si="6"/>
        <v>3.825224035212655</v>
      </c>
      <c r="L47" s="9"/>
      <c r="M47" s="11">
        <f>(8/15) * 'Weir dims'!$B$21 * ((2*9.81)^0.5)*(TAN(RADIANS(90)/2)) * (D47^2.5)</f>
        <v>6.0121225581145493E-2</v>
      </c>
      <c r="N47" s="3">
        <f t="shared" si="7"/>
        <v>952.94381964089553</v>
      </c>
      <c r="O47" s="9">
        <f t="shared" si="8"/>
        <v>2.1231610429936665</v>
      </c>
      <c r="Q47" s="11">
        <f>(2/3)*'Weir dims'!$B$22*((2*9.81)^0.5)*('Weir dims'!$D$4+'Weir dims'!$D$5+(2*'Weir dims'!$D$8))*(D47^1.5)</f>
        <v>0.10182064620817861</v>
      </c>
      <c r="R47" s="3">
        <f t="shared" si="9"/>
        <v>1613.8951689360636</v>
      </c>
      <c r="S47" s="9">
        <f t="shared" si="10"/>
        <v>3.5957621840204461</v>
      </c>
    </row>
    <row r="48" spans="1:19" x14ac:dyDescent="0.25">
      <c r="A48">
        <f t="shared" si="11"/>
        <v>11.5</v>
      </c>
      <c r="B48">
        <f t="shared" si="0"/>
        <v>11.5</v>
      </c>
      <c r="C48" s="3">
        <f t="shared" si="1"/>
        <v>0.29209999999999997</v>
      </c>
      <c r="D48" s="3">
        <f t="shared" si="2"/>
        <v>0.29289999999999999</v>
      </c>
      <c r="E48" s="3">
        <f>IF(C48&gt;'Weir dims'!$D$7, C48-'Weir dims'!$D$7, 0)</f>
        <v>0.24129999999999996</v>
      </c>
      <c r="F48" s="3">
        <f t="shared" si="3"/>
        <v>0.24209999999999995</v>
      </c>
      <c r="G48" s="11">
        <f>(8/15) * 'Weir dims'!$B$21 * ((2*9.81)^0.5)*(TAN(RADIANS(90)/2)) * ((D48^2.5) - (F48^2.5))</f>
        <v>2.4060549425324044E-2</v>
      </c>
      <c r="H48" s="11">
        <f>(2/3) * 'Weir dims'!$B$22 * ((2*9.81)^0.5) * ('Weir dims'!$D$4  + 'Weir dims'!$D$5+(2*'Weir dims'!$D$8)) * (F48 ^1.5)</f>
        <v>7.9072853953854938E-2</v>
      </c>
      <c r="I48" s="3">
        <f t="shared" si="4"/>
        <v>0.11262167649006345</v>
      </c>
      <c r="J48" s="3">
        <f t="shared" si="5"/>
        <v>1785.095522112234</v>
      </c>
      <c r="K48" s="9">
        <f t="shared" si="6"/>
        <v>3.9771969684418162</v>
      </c>
      <c r="L48" s="9"/>
      <c r="M48" s="11">
        <f>(8/15) * 'Weir dims'!$B$21 * ((2*9.81)^0.5)*(TAN(RADIANS(90)/2)) * (D48^2.5)</f>
        <v>6.3507530050975244E-2</v>
      </c>
      <c r="N48" s="3">
        <f t="shared" si="7"/>
        <v>1006.6180068310948</v>
      </c>
      <c r="O48" s="9">
        <f t="shared" si="8"/>
        <v>2.2427472566904245</v>
      </c>
      <c r="Q48" s="11">
        <f>(2/3)*'Weir dims'!$B$22*((2*9.81)^0.5)*('Weir dims'!$D$4+'Weir dims'!$D$5+(2*'Weir dims'!$D$8))*(D48^1.5)</f>
        <v>0.10522387405911356</v>
      </c>
      <c r="R48" s="3">
        <f t="shared" si="9"/>
        <v>1667.8375980204646</v>
      </c>
      <c r="S48" s="9">
        <f t="shared" si="10"/>
        <v>3.7159460412803709</v>
      </c>
    </row>
    <row r="49" spans="1:19" x14ac:dyDescent="0.25">
      <c r="A49">
        <f t="shared" si="11"/>
        <v>11.75</v>
      </c>
      <c r="B49">
        <f t="shared" si="0"/>
        <v>11.75</v>
      </c>
      <c r="C49" s="3">
        <f t="shared" si="1"/>
        <v>0.29844999999999999</v>
      </c>
      <c r="D49" s="3">
        <f t="shared" si="2"/>
        <v>0.29925000000000002</v>
      </c>
      <c r="E49" s="3">
        <f>IF(C49&gt;'Weir dims'!$D$7, C49-'Weir dims'!$D$7, 0)</f>
        <v>0.24764999999999998</v>
      </c>
      <c r="F49" s="3">
        <f t="shared" si="3"/>
        <v>0.24844999999999998</v>
      </c>
      <c r="G49" s="11">
        <f>(8/15) * 'Weir dims'!$B$21 * ((2*9.81)^0.5)*(TAN(RADIANS(90)/2)) * ((D49^2.5) - (F49^2.5))</f>
        <v>2.4921062406467347E-2</v>
      </c>
      <c r="H49" s="11">
        <f>(2/3) * 'Weir dims'!$B$22 * ((2*9.81)^0.5) * ('Weir dims'!$D$4  + 'Weir dims'!$D$5+(2*'Weir dims'!$D$8)) * (F49 ^1.5)</f>
        <v>8.2204147796791444E-2</v>
      </c>
      <c r="I49" s="3">
        <f t="shared" si="4"/>
        <v>0.11698072954195861</v>
      </c>
      <c r="J49" s="3">
        <f t="shared" si="5"/>
        <v>1854.1881366612124</v>
      </c>
      <c r="K49" s="9">
        <f t="shared" si="6"/>
        <v>4.1311354740971113</v>
      </c>
      <c r="L49" s="9"/>
      <c r="M49" s="11">
        <f>(8/15) * 'Weir dims'!$B$21 * ((2*9.81)^0.5)*(TAN(RADIANS(90)/2)) * (D49^2.5)</f>
        <v>6.7005768242653405E-2</v>
      </c>
      <c r="N49" s="3">
        <f t="shared" si="7"/>
        <v>1062.0663852060841</v>
      </c>
      <c r="O49" s="9">
        <f t="shared" si="8"/>
        <v>2.3662863724667496</v>
      </c>
      <c r="Q49" s="11">
        <f>(2/3)*'Weir dims'!$B$22*((2*9.81)^0.5)*('Weir dims'!$D$4+'Weir dims'!$D$5+(2*'Weir dims'!$D$8))*(D49^1.5)</f>
        <v>0.10866419534202568</v>
      </c>
      <c r="R49" s="3">
        <f t="shared" si="9"/>
        <v>1722.3679718184048</v>
      </c>
      <c r="S49" s="9">
        <f t="shared" si="10"/>
        <v>3.8374398407273289</v>
      </c>
    </row>
    <row r="50" spans="1:19" x14ac:dyDescent="0.25">
      <c r="A50">
        <f t="shared" si="11"/>
        <v>12</v>
      </c>
      <c r="B50">
        <f t="shared" si="0"/>
        <v>12</v>
      </c>
      <c r="C50" s="3">
        <f t="shared" si="1"/>
        <v>0.30479999999999996</v>
      </c>
      <c r="D50" s="3">
        <f t="shared" si="2"/>
        <v>0.30559999999999998</v>
      </c>
      <c r="E50" s="3">
        <f>IF(C50&gt;'Weir dims'!$D$7, C50-'Weir dims'!$D$7, 0)</f>
        <v>0.25399999999999995</v>
      </c>
      <c r="F50" s="3">
        <f t="shared" si="3"/>
        <v>0.25479999999999997</v>
      </c>
      <c r="G50" s="11">
        <f>(8/15) * 'Weir dims'!$B$21 * ((2*9.81)^0.5)*(TAN(RADIANS(90)/2)) * ((D50^2.5) - (F50^2.5))</f>
        <v>2.5791625389788429E-2</v>
      </c>
      <c r="H50" s="11">
        <f>(2/3) * 'Weir dims'!$B$22 * ((2*9.81)^0.5) * ('Weir dims'!$D$4  + 'Weir dims'!$D$5+(2*'Weir dims'!$D$8)) * (F50 ^1.5)</f>
        <v>8.537571725440643E-2</v>
      </c>
      <c r="I50" s="3">
        <f t="shared" si="4"/>
        <v>0.1213947381674608</v>
      </c>
      <c r="J50" s="3">
        <f t="shared" si="5"/>
        <v>1924.1518175219207</v>
      </c>
      <c r="K50" s="9">
        <f t="shared" si="6"/>
        <v>4.2870147175176463</v>
      </c>
      <c r="L50" s="9"/>
      <c r="M50" s="11">
        <f>(8/15) * 'Weir dims'!$B$21 * ((2*9.81)^0.5)*(TAN(RADIANS(90)/2)) * (D50^2.5)</f>
        <v>7.0617147044555184E-2</v>
      </c>
      <c r="N50" s="3">
        <f t="shared" si="7"/>
        <v>1119.308084396157</v>
      </c>
      <c r="O50" s="9">
        <f t="shared" si="8"/>
        <v>2.4938210111833561</v>
      </c>
      <c r="Q50" s="11">
        <f>(2/3)*'Weir dims'!$B$22*((2*9.81)^0.5)*('Weir dims'!$D$4+'Weir dims'!$D$5+(2*'Weir dims'!$D$8))*(D50^1.5)</f>
        <v>0.11214121434535737</v>
      </c>
      <c r="R50" s="3">
        <f t="shared" si="9"/>
        <v>1777.4800181542998</v>
      </c>
      <c r="S50" s="9">
        <f t="shared" si="10"/>
        <v>3.9602296079395538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1D50-59E8-47C7-B8DF-54B57DB16417}">
  <dimension ref="A1:E22"/>
  <sheetViews>
    <sheetView workbookViewId="0">
      <selection activeCell="D8" sqref="D8"/>
    </sheetView>
  </sheetViews>
  <sheetFormatPr defaultRowHeight="15" x14ac:dyDescent="0.25"/>
  <cols>
    <col min="1" max="1" width="14.28515625" customWidth="1"/>
  </cols>
  <sheetData>
    <row r="1" spans="1:5" x14ac:dyDescent="0.25">
      <c r="A1" s="2" t="s">
        <v>0</v>
      </c>
      <c r="E1" s="2"/>
    </row>
    <row r="2" spans="1:5" x14ac:dyDescent="0.25">
      <c r="A2" s="4" t="s">
        <v>24</v>
      </c>
      <c r="B2" s="5">
        <v>90</v>
      </c>
      <c r="C2" s="2"/>
      <c r="D2" s="2"/>
    </row>
    <row r="3" spans="1:5" x14ac:dyDescent="0.25">
      <c r="A3" s="5"/>
      <c r="B3" s="2" t="s">
        <v>10</v>
      </c>
      <c r="C3" s="2" t="s">
        <v>11</v>
      </c>
      <c r="D3" s="2" t="s">
        <v>16</v>
      </c>
    </row>
    <row r="4" spans="1:5" x14ac:dyDescent="0.25">
      <c r="A4" s="4" t="s">
        <v>3</v>
      </c>
      <c r="B4" s="6">
        <v>3.5</v>
      </c>
      <c r="C4" s="6">
        <f>B4*2.54</f>
        <v>8.89</v>
      </c>
      <c r="D4" s="7">
        <f>C4/100</f>
        <v>8.8900000000000007E-2</v>
      </c>
    </row>
    <row r="5" spans="1:5" x14ac:dyDescent="0.25">
      <c r="A5" s="4" t="s">
        <v>4</v>
      </c>
      <c r="B5" s="6">
        <v>3.5</v>
      </c>
      <c r="C5" s="6">
        <f>B5*2.54</f>
        <v>8.89</v>
      </c>
      <c r="D5" s="7">
        <f>C5/100</f>
        <v>8.8900000000000007E-2</v>
      </c>
    </row>
    <row r="6" spans="1:5" x14ac:dyDescent="0.25">
      <c r="A6" s="4" t="s">
        <v>5</v>
      </c>
      <c r="B6" s="6">
        <v>8</v>
      </c>
      <c r="C6" s="6">
        <f>B6*2.54</f>
        <v>20.32</v>
      </c>
      <c r="D6" s="7">
        <f>C6/100</f>
        <v>0.20319999999999999</v>
      </c>
    </row>
    <row r="7" spans="1:5" x14ac:dyDescent="0.25">
      <c r="A7" s="4" t="s">
        <v>6</v>
      </c>
      <c r="B7" s="6">
        <v>2</v>
      </c>
      <c r="C7" s="6">
        <f>B7*2.54</f>
        <v>5.08</v>
      </c>
      <c r="D7" s="7">
        <f>C7/100</f>
        <v>5.0799999999999998E-2</v>
      </c>
    </row>
    <row r="8" spans="1:5" x14ac:dyDescent="0.25">
      <c r="A8" s="4" t="s">
        <v>7</v>
      </c>
      <c r="B8" s="6">
        <v>4</v>
      </c>
      <c r="C8" s="6">
        <f>B8*2.54</f>
        <v>10.16</v>
      </c>
      <c r="D8" s="7">
        <f>C8/100</f>
        <v>0.1016</v>
      </c>
    </row>
    <row r="9" spans="1:5" x14ac:dyDescent="0.25">
      <c r="A9" s="4" t="s">
        <v>8</v>
      </c>
      <c r="B9" s="5" t="s">
        <v>12</v>
      </c>
      <c r="C9" s="5"/>
      <c r="D9" s="5"/>
    </row>
    <row r="10" spans="1:5" x14ac:dyDescent="0.25">
      <c r="A10" s="4" t="s">
        <v>9</v>
      </c>
      <c r="B10" s="5" t="s">
        <v>12</v>
      </c>
      <c r="C10" s="5"/>
      <c r="D10" s="5"/>
    </row>
    <row r="20" spans="1:2" x14ac:dyDescent="0.25">
      <c r="A20" s="2" t="s">
        <v>13</v>
      </c>
    </row>
    <row r="21" spans="1:2" x14ac:dyDescent="0.25">
      <c r="A21" s="4" t="s">
        <v>14</v>
      </c>
      <c r="B21" s="5">
        <v>0.57899999999999996</v>
      </c>
    </row>
    <row r="22" spans="1:2" x14ac:dyDescent="0.25">
      <c r="A22" s="4" t="s">
        <v>15</v>
      </c>
      <c r="B22" s="5">
        <v>0.59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d234255-e20f-4205-88a5-9658a402999b}" enabled="0" method="" siteId="{3d234255-e20f-4205-88a5-9658a40299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Compound vs Simple 120 V</vt:lpstr>
      <vt:lpstr>Compound vs Simple 90 V</vt:lpstr>
      <vt:lpstr>Weir dims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Newtson, Jameson</dc:creator>
  <cp:lastModifiedBy>Messina, Alex</cp:lastModifiedBy>
  <dcterms:created xsi:type="dcterms:W3CDTF">2021-02-12T21:36:46Z</dcterms:created>
  <dcterms:modified xsi:type="dcterms:W3CDTF">2023-11-10T23:57:04Z</dcterms:modified>
</cp:coreProperties>
</file>